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data_svm\"/>
    </mc:Choice>
  </mc:AlternateContent>
  <xr:revisionPtr revIDLastSave="4" documentId="8_{4F00047A-C8EC-4BDA-B209-B06E9617877D}" xr6:coauthVersionLast="36" xr6:coauthVersionMax="36" xr10:uidLastSave="{1DBB13AD-9CE1-467F-8DD2-C16079024890}"/>
  <bookViews>
    <workbookView xWindow="0" yWindow="0" windowWidth="19245" windowHeight="6675" xr2:uid="{00000000-000D-0000-FFFF-FFFF00000000}"/>
  </bookViews>
  <sheets>
    <sheet name="mini_database_project_PNAEP_" sheetId="1" r:id="rId1"/>
    <sheet name="Liste Client" sheetId="2" state="hidden" r:id="rId2"/>
    <sheet name="Liste " sheetId="4" state="hidden" r:id="rId3"/>
    <sheet name="Consignes " sheetId="3" state="hidden" r:id="rId4"/>
    <sheet name="Code VBA " sheetId="5" state="hidden" r:id="rId5"/>
  </sheets>
  <externalReferences>
    <externalReference r:id="rId6"/>
  </externalReferences>
  <definedNames>
    <definedName name="_xlnm._FilterDatabase" localSheetId="0" hidden="1">mini_database_project_PNAEP_!$A$1:$V$100</definedName>
    <definedName name="_xlnm.Criteria" localSheetId="2">'Liste '!$N$5:$N$6</definedName>
    <definedName name="_xlnm.Criteria" localSheetId="0">mini_database_project_PNAEP_!$Y$1:$Y$2</definedName>
    <definedName name="DébitMeca">BaseRG[flow rate  (m3/h)]</definedName>
    <definedName name="_xlnm.Extract" localSheetId="0">mini_database_project_PNAEP_!$AA$1:$AV$1</definedName>
    <definedName name="ListeExtraction">OFFSET(mini_database_project_PNAEP_!$AA$2,0,0,COUNTA(mini_database_project_PNAEP_!$AA$2:$AA$371),21)</definedName>
    <definedName name="ListeService">OFFSET('Liste '!$C$5,1,0,COUNTA('Liste '!$C$6:$C$100))</definedName>
    <definedName name="ListeStatut">OFFSET('Liste '!$Q$5,1,0,COUNTA('Liste '!$Q$6:$Q$100))</definedName>
    <definedName name="Localité">BaseRG[[locality ]]</definedName>
    <definedName name="NatureDuForage">mini_database_project_PNAEP_!$U$2:$U$153</definedName>
    <definedName name="Nom">mini_database_project_PNAEP_!#REF!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95" i="1" l="1"/>
  <c r="U96" i="1"/>
  <c r="U97" i="1"/>
  <c r="U98" i="1"/>
  <c r="U99" i="1"/>
  <c r="U100" i="1"/>
  <c r="U94" i="1"/>
  <c r="U89" i="1"/>
  <c r="U90" i="1"/>
  <c r="U91" i="1"/>
  <c r="U92" i="1"/>
  <c r="U88" i="1"/>
  <c r="U83" i="1"/>
  <c r="U70" i="1"/>
  <c r="U71" i="1"/>
  <c r="U72" i="1"/>
  <c r="U73" i="1"/>
  <c r="U74" i="1"/>
  <c r="U75" i="1"/>
  <c r="U76" i="1"/>
  <c r="U77" i="1"/>
  <c r="U78" i="1"/>
  <c r="U79" i="1"/>
  <c r="U80" i="1"/>
  <c r="U81" i="1"/>
  <c r="U69" i="1"/>
  <c r="U66" i="1"/>
  <c r="U65" i="1"/>
  <c r="U58" i="1"/>
  <c r="U59" i="1"/>
  <c r="U60" i="1"/>
  <c r="U61" i="1"/>
  <c r="U62" i="1"/>
  <c r="U63" i="1"/>
  <c r="U57" i="1"/>
  <c r="U48" i="1"/>
  <c r="U49" i="1"/>
  <c r="U50" i="1"/>
  <c r="U51" i="1"/>
  <c r="U52" i="1"/>
  <c r="U53" i="1"/>
  <c r="U54" i="1"/>
  <c r="U55" i="1"/>
  <c r="U47" i="1"/>
  <c r="U42" i="1"/>
  <c r="U43" i="1"/>
  <c r="U44" i="1"/>
  <c r="U45" i="1"/>
  <c r="U41" i="1"/>
  <c r="U34" i="1"/>
  <c r="U35" i="1"/>
  <c r="U36" i="1"/>
  <c r="U37" i="1"/>
  <c r="U38" i="1"/>
  <c r="U39" i="1"/>
  <c r="U33" i="1"/>
  <c r="U22" i="1"/>
  <c r="U23" i="1"/>
  <c r="U24" i="1"/>
  <c r="U25" i="1"/>
  <c r="U26" i="1"/>
  <c r="U27" i="1"/>
  <c r="U28" i="1"/>
  <c r="U29" i="1"/>
  <c r="U30" i="1"/>
  <c r="U21" i="1"/>
  <c r="U20" i="1"/>
  <c r="U18" i="1"/>
  <c r="U15" i="1"/>
  <c r="U16" i="1"/>
  <c r="U14" i="1"/>
  <c r="U11" i="1"/>
  <c r="U10" i="1"/>
  <c r="U2" i="1" l="1"/>
  <c r="S6" i="4" l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3" i="1"/>
  <c r="Q62" i="1"/>
  <c r="Q61" i="1"/>
  <c r="P60" i="1"/>
  <c r="P59" i="1"/>
  <c r="P58" i="1"/>
  <c r="P57" i="1"/>
  <c r="P55" i="1"/>
  <c r="P54" i="1"/>
  <c r="P53" i="1"/>
  <c r="P52" i="1"/>
  <c r="P51" i="1"/>
  <c r="P50" i="1"/>
  <c r="P49" i="1"/>
  <c r="P48" i="1"/>
  <c r="P47" i="1"/>
  <c r="P46" i="1"/>
  <c r="P45" i="1"/>
  <c r="Q44" i="1"/>
  <c r="Q43" i="1"/>
  <c r="Q42" i="1"/>
  <c r="Q41" i="1"/>
  <c r="Q39" i="1"/>
  <c r="Q38" i="1"/>
  <c r="Q37" i="1"/>
  <c r="Q36" i="1"/>
  <c r="Q35" i="1"/>
  <c r="Q34" i="1"/>
  <c r="Q33" i="1"/>
  <c r="Q30" i="1"/>
  <c r="Q29" i="1"/>
  <c r="Q28" i="1"/>
  <c r="Q27" i="1"/>
  <c r="Q26" i="1"/>
  <c r="Q25" i="1"/>
  <c r="Q24" i="1"/>
  <c r="Q23" i="1"/>
  <c r="Q22" i="1"/>
  <c r="Q21" i="1"/>
  <c r="Q20" i="1"/>
  <c r="Q18" i="1"/>
  <c r="Q16" i="1"/>
  <c r="Q15" i="1"/>
  <c r="Q14" i="1"/>
  <c r="Q12" i="1"/>
  <c r="Q11" i="1"/>
  <c r="Q10" i="1"/>
  <c r="U9" i="1"/>
  <c r="Q9" i="1"/>
  <c r="U8" i="1"/>
  <c r="Q8" i="1"/>
  <c r="U7" i="1"/>
  <c r="Q7" i="1"/>
  <c r="U5" i="1"/>
  <c r="Q5" i="1"/>
  <c r="U4" i="1"/>
  <c r="Q4" i="1"/>
  <c r="U3" i="1"/>
  <c r="Q3" i="1"/>
  <c r="Q2" i="1"/>
</calcChain>
</file>

<file path=xl/sharedStrings.xml><?xml version="1.0" encoding="utf-8"?>
<sst xmlns="http://schemas.openxmlformats.org/spreadsheetml/2006/main" count="1443" uniqueCount="604">
  <si>
    <t>Production</t>
  </si>
  <si>
    <t>Contrôle qualité</t>
  </si>
  <si>
    <t>Etude laboratoire</t>
  </si>
  <si>
    <t>Accueil</t>
  </si>
  <si>
    <t>Vincent</t>
  </si>
  <si>
    <t>Design</t>
  </si>
  <si>
    <t>Catherine</t>
  </si>
  <si>
    <t>Maintenance</t>
  </si>
  <si>
    <t>Commercial</t>
  </si>
  <si>
    <t>Robert</t>
  </si>
  <si>
    <t>Nicole</t>
  </si>
  <si>
    <t>Christiane</t>
  </si>
  <si>
    <t>Direction</t>
  </si>
  <si>
    <t>Administratif</t>
  </si>
  <si>
    <t>Thierry</t>
  </si>
  <si>
    <t>Michel</t>
  </si>
  <si>
    <t>François</t>
  </si>
  <si>
    <t>Ressources humaines</t>
  </si>
  <si>
    <t>Infirmerie</t>
  </si>
  <si>
    <t>Denis</t>
  </si>
  <si>
    <t>Marie</t>
  </si>
  <si>
    <t>Patrick</t>
  </si>
  <si>
    <t>Camille</t>
  </si>
  <si>
    <t>Virginie</t>
  </si>
  <si>
    <t>Stéphanie</t>
  </si>
  <si>
    <t>Numéro client</t>
  </si>
  <si>
    <t>Nom</t>
  </si>
  <si>
    <t>Prénom</t>
  </si>
  <si>
    <t>Adresse</t>
  </si>
  <si>
    <t>Ville</t>
  </si>
  <si>
    <t>Région</t>
  </si>
  <si>
    <t>Code postal</t>
  </si>
  <si>
    <t>Code</t>
  </si>
  <si>
    <t>Source</t>
  </si>
  <si>
    <t>Premier achat</t>
  </si>
  <si>
    <t>Total achats</t>
  </si>
  <si>
    <t>Revenus</t>
  </si>
  <si>
    <t>Type ménage</t>
  </si>
  <si>
    <t>Van Outin</t>
  </si>
  <si>
    <t xml:space="preserve">1611 Aux Revers </t>
  </si>
  <si>
    <t>Chateauneuf</t>
  </si>
  <si>
    <t>Brabant</t>
  </si>
  <si>
    <t>Radio</t>
  </si>
  <si>
    <t>Famille</t>
  </si>
  <si>
    <t>Troigne</t>
  </si>
  <si>
    <t>25, Rue 8 Mai 1945</t>
  </si>
  <si>
    <t>Chauffailles</t>
  </si>
  <si>
    <t>Bourgogne</t>
  </si>
  <si>
    <t>Magazine</t>
  </si>
  <si>
    <t>Célibataire</t>
  </si>
  <si>
    <t>Sicard</t>
  </si>
  <si>
    <t>Tabatha</t>
  </si>
  <si>
    <t>Route de Samerey</t>
  </si>
  <si>
    <t>Laperriere Sur Saone</t>
  </si>
  <si>
    <t>Quotidien</t>
  </si>
  <si>
    <t>Meunier</t>
  </si>
  <si>
    <t>Maelle</t>
  </si>
  <si>
    <t>29, Rue Jeanne D Arc</t>
  </si>
  <si>
    <t>Paris</t>
  </si>
  <si>
    <t>Ile de France</t>
  </si>
  <si>
    <t>Ballard</t>
  </si>
  <si>
    <t>2, Ile Loups</t>
  </si>
  <si>
    <t>Le Perreux Sur Marne</t>
  </si>
  <si>
    <t>Couple</t>
  </si>
  <si>
    <t>Montano</t>
  </si>
  <si>
    <t xml:space="preserve">251 Route Nationale 6 </t>
  </si>
  <si>
    <t>St Priest</t>
  </si>
  <si>
    <t>Rhône-Alpes</t>
  </si>
  <si>
    <t>Montroux</t>
  </si>
  <si>
    <t xml:space="preserve">24, Avenue Jean Moulin </t>
  </si>
  <si>
    <t>Rumilly</t>
  </si>
  <si>
    <t>TV</t>
  </si>
  <si>
    <t>Roland</t>
  </si>
  <si>
    <t>108 rue Lemercier</t>
  </si>
  <si>
    <t>Ichikawa</t>
  </si>
  <si>
    <t>Ito</t>
  </si>
  <si>
    <t>1, Rue Baronne Delort</t>
  </si>
  <si>
    <t>Champagnole</t>
  </si>
  <si>
    <t>Franche-Comté</t>
  </si>
  <si>
    <t>Rodriguez</t>
  </si>
  <si>
    <t>Route Grange L Eveque</t>
  </si>
  <si>
    <t>St Lye</t>
  </si>
  <si>
    <t>Champagne-Ardenne</t>
  </si>
  <si>
    <t>Munchen</t>
  </si>
  <si>
    <t>Karl</t>
  </si>
  <si>
    <t>1095, Route Paris</t>
  </si>
  <si>
    <t>Franqueville St Pierre</t>
  </si>
  <si>
    <t>Haute-Normandie</t>
  </si>
  <si>
    <t>d'Oustreciel</t>
  </si>
  <si>
    <t>Amaury</t>
  </si>
  <si>
    <t>Meymac</t>
  </si>
  <si>
    <t>Polminhac</t>
  </si>
  <si>
    <t>Auvergne</t>
  </si>
  <si>
    <t>Guttierez</t>
  </si>
  <si>
    <t>9, Route d'Auxerre</t>
  </si>
  <si>
    <t>Appoigny</t>
  </si>
  <si>
    <t>Van Gogh</t>
  </si>
  <si>
    <t>25, Rue Francois Villon</t>
  </si>
  <si>
    <t>Auvers Sur Oise</t>
  </si>
  <si>
    <t>Salpertois</t>
  </si>
  <si>
    <t>Rue A. Bordes</t>
  </si>
  <si>
    <t>Serqueux</t>
  </si>
  <si>
    <t>Boulard</t>
  </si>
  <si>
    <t>Amélie</t>
  </si>
  <si>
    <t>Rue des Vignes</t>
  </si>
  <si>
    <t>St Germain Du Puy</t>
  </si>
  <si>
    <t>Centre</t>
  </si>
  <si>
    <t>Lescault</t>
  </si>
  <si>
    <t>Manon</t>
  </si>
  <si>
    <t>31, Rue Bonne Femme</t>
  </si>
  <si>
    <t>Reims</t>
  </si>
  <si>
    <t>Wong</t>
  </si>
  <si>
    <t>Carole</t>
  </si>
  <si>
    <t>10, Rue Henri Boulenger</t>
  </si>
  <si>
    <t>Epouville</t>
  </si>
  <si>
    <t>Pachevin</t>
  </si>
  <si>
    <t xml:space="preserve">18, Rue Gravignan </t>
  </si>
  <si>
    <t>Ternay</t>
  </si>
  <si>
    <t>Sicolado</t>
  </si>
  <si>
    <t>Erwin</t>
  </si>
  <si>
    <t>Allée du Parc</t>
  </si>
  <si>
    <t>Manosque</t>
  </si>
  <si>
    <t>Provence</t>
  </si>
  <si>
    <t>Chamfort</t>
  </si>
  <si>
    <t>Annes</t>
  </si>
  <si>
    <t>6, Rue Rougerons</t>
  </si>
  <si>
    <t>Champhol</t>
  </si>
  <si>
    <t>Pages Jaunes</t>
  </si>
  <si>
    <t>Gauthiers</t>
  </si>
  <si>
    <t>Le Mas Sireuil</t>
  </si>
  <si>
    <t>Les Eyzies Tayac Sireuil</t>
  </si>
  <si>
    <t>Aquitaine</t>
  </si>
  <si>
    <t>Gonzales</t>
  </si>
  <si>
    <t>José</t>
  </si>
  <si>
    <t>Le Bourg</t>
  </si>
  <si>
    <t>Flat</t>
  </si>
  <si>
    <t>Chazal</t>
  </si>
  <si>
    <t>Anthonin</t>
  </si>
  <si>
    <t>25, route de Tulle</t>
  </si>
  <si>
    <t>Brives Charensac</t>
  </si>
  <si>
    <t>Gabriel</t>
  </si>
  <si>
    <t>Jordy</t>
  </si>
  <si>
    <t>Route Nationale 102</t>
  </si>
  <si>
    <t>Polignac</t>
  </si>
  <si>
    <t>Jantsizian</t>
  </si>
  <si>
    <t>Stephane</t>
  </si>
  <si>
    <t>06, Avenue Caupos</t>
  </si>
  <si>
    <t>Biscarrosse</t>
  </si>
  <si>
    <t>Relman</t>
  </si>
  <si>
    <t>150, Chemin Lebrane</t>
  </si>
  <si>
    <t>Cagnotte</t>
  </si>
  <si>
    <t>Larquez</t>
  </si>
  <si>
    <t>69, Rue Ferte</t>
  </si>
  <si>
    <t>Crecy La Chapelle</t>
  </si>
  <si>
    <t>Lopez</t>
  </si>
  <si>
    <t>Luis</t>
  </si>
  <si>
    <t>15 rue Cour des Noues</t>
  </si>
  <si>
    <t>Frendain</t>
  </si>
  <si>
    <t>12, Rue Paul Fort</t>
  </si>
  <si>
    <t>Khalsa</t>
  </si>
  <si>
    <t>2, Rue Condorcet</t>
  </si>
  <si>
    <t>Houilles</t>
  </si>
  <si>
    <t>Chavez</t>
  </si>
  <si>
    <t>Florence</t>
  </si>
  <si>
    <t>16, Avenue Rosny</t>
  </si>
  <si>
    <t>Neuilly Plaisance</t>
  </si>
  <si>
    <t>Trevasec</t>
  </si>
  <si>
    <t>Gaelle</t>
  </si>
  <si>
    <t>4, Rue Des Hussards</t>
  </si>
  <si>
    <t>St Jean Pla De Corts</t>
  </si>
  <si>
    <t>Languedoc-Roussillon</t>
  </si>
  <si>
    <t>Skwettlicw</t>
  </si>
  <si>
    <t>Pietr</t>
  </si>
  <si>
    <t>12, Rue Fleurs</t>
  </si>
  <si>
    <t>St Esteve</t>
  </si>
  <si>
    <t>Kane</t>
  </si>
  <si>
    <t>Richard</t>
  </si>
  <si>
    <t>21, Rue Saint Georges</t>
  </si>
  <si>
    <t>Aubevoye</t>
  </si>
  <si>
    <t>Services</t>
  </si>
  <si>
    <t>= NBVAL(Liste!C6:C100) donne le résultat 11</t>
  </si>
  <si>
    <t>Ligne</t>
  </si>
  <si>
    <t xml:space="preserve">Cellule de </t>
  </si>
  <si>
    <t>départ</t>
  </si>
  <si>
    <t>Colonne</t>
  </si>
  <si>
    <t>Hauteur</t>
  </si>
  <si>
    <t>Largeur</t>
  </si>
  <si>
    <r>
      <t>=DECALER(C5;1;0;</t>
    </r>
    <r>
      <rPr>
        <b/>
        <sz val="14"/>
        <color rgb="FFFF0000"/>
        <rFont val="Calibri"/>
        <family val="2"/>
        <scheme val="minor"/>
      </rPr>
      <t>11</t>
    </r>
    <r>
      <rPr>
        <b/>
        <sz val="14"/>
        <rFont val="Calibri"/>
        <family val="2"/>
        <scheme val="minor"/>
      </rPr>
      <t>;0)</t>
    </r>
  </si>
  <si>
    <t>Technicien</t>
  </si>
  <si>
    <t>Cadre</t>
  </si>
  <si>
    <t>Dirigeant</t>
  </si>
  <si>
    <t>Président</t>
  </si>
  <si>
    <t>Agent</t>
  </si>
  <si>
    <t>Statut</t>
  </si>
  <si>
    <t>TOTAL</t>
  </si>
  <si>
    <t>Nbre</t>
  </si>
  <si>
    <t>PROJET</t>
  </si>
  <si>
    <t>DATE D'EXECUTION</t>
  </si>
  <si>
    <t xml:space="preserve">Zone </t>
  </si>
  <si>
    <t>District</t>
  </si>
  <si>
    <t xml:space="preserve">Region </t>
  </si>
  <si>
    <t>Departement</t>
  </si>
  <si>
    <t xml:space="preserve">Village </t>
  </si>
  <si>
    <t>Localité</t>
  </si>
  <si>
    <t>Nbre de sondage effectués</t>
  </si>
  <si>
    <t>Sondage Foré(Priorité)</t>
  </si>
  <si>
    <t xml:space="preserve">Alteration Theorique </t>
  </si>
  <si>
    <t xml:space="preserve">Altération Mecanique </t>
  </si>
  <si>
    <t>Courbe de sondage Prioritaire</t>
  </si>
  <si>
    <t>Profondeur Total</t>
  </si>
  <si>
    <t>Débit (m3/h)</t>
  </si>
  <si>
    <t>Arrivées d'eau  (1; 2; 3; 4; 5)</t>
  </si>
  <si>
    <t>Seuil Demandé (m3/h)</t>
  </si>
  <si>
    <t xml:space="preserve">Nature du  Forage </t>
  </si>
  <si>
    <t xml:space="preserve">Geologie </t>
  </si>
  <si>
    <t>CONSEIL REGIONAL</t>
  </si>
  <si>
    <t>SUD</t>
  </si>
  <si>
    <t>LAGUNES</t>
  </si>
  <si>
    <t>AGNEBY-TIASSA</t>
  </si>
  <si>
    <t>AGBOVILLE</t>
  </si>
  <si>
    <t>KASSIGUIE</t>
  </si>
  <si>
    <t>Kassiguie</t>
  </si>
  <si>
    <t>SE1</t>
  </si>
  <si>
    <t>AH</t>
  </si>
  <si>
    <t>*</t>
  </si>
  <si>
    <t>ATEHOU</t>
  </si>
  <si>
    <t>Atehou</t>
  </si>
  <si>
    <t>A</t>
  </si>
  <si>
    <t>OUELEZOUE</t>
  </si>
  <si>
    <t>Ouelezoue</t>
  </si>
  <si>
    <t>HQ</t>
  </si>
  <si>
    <t>TIASSALE</t>
  </si>
  <si>
    <t>ABOUDE BOA VINCENT</t>
  </si>
  <si>
    <t>Aboude Boa Vincent</t>
  </si>
  <si>
    <t>BOSSONKANKRO</t>
  </si>
  <si>
    <t>Bossonkankro</t>
  </si>
  <si>
    <t>Ah</t>
  </si>
  <si>
    <t>TAABO</t>
  </si>
  <si>
    <t>AFFOUEKRO</t>
  </si>
  <si>
    <t>Affouekro</t>
  </si>
  <si>
    <t>KH</t>
  </si>
  <si>
    <t>ECOOKIM</t>
  </si>
  <si>
    <t>CENTRE-OUEST</t>
  </si>
  <si>
    <t>SASSANDRA-MARAHOUE</t>
  </si>
  <si>
    <t>HAUT-SASSANDRA</t>
  </si>
  <si>
    <t>DALOA</t>
  </si>
  <si>
    <t>WOROGIRI</t>
  </si>
  <si>
    <t>Worogiri</t>
  </si>
  <si>
    <t>SE3</t>
  </si>
  <si>
    <t>43;48; 61</t>
  </si>
  <si>
    <t>OUEST</t>
  </si>
  <si>
    <t>MONTAGNES</t>
  </si>
  <si>
    <t>GUEMON</t>
  </si>
  <si>
    <t>BANGOLO</t>
  </si>
  <si>
    <t>YAKRO</t>
  </si>
  <si>
    <t>Yakro</t>
  </si>
  <si>
    <t>SE2</t>
  </si>
  <si>
    <t>kH</t>
  </si>
  <si>
    <t>VAVOUA</t>
  </si>
  <si>
    <t>GOREYAPLOHI</t>
  </si>
  <si>
    <t>Goreyaplohi</t>
  </si>
  <si>
    <t>A'</t>
  </si>
  <si>
    <t>13;25;30</t>
  </si>
  <si>
    <t>SOAFH</t>
  </si>
  <si>
    <t>SUD-EST</t>
  </si>
  <si>
    <t>COMOE</t>
  </si>
  <si>
    <t>SUD-COMOE</t>
  </si>
  <si>
    <t>ABOISSO</t>
  </si>
  <si>
    <t>LINGUE</t>
  </si>
  <si>
    <t>Lingue</t>
  </si>
  <si>
    <t>ADIAKE</t>
  </si>
  <si>
    <t>KONGODJAN-AMANIKRO</t>
  </si>
  <si>
    <t>Kongodjan-Amanikro</t>
  </si>
  <si>
    <t>H</t>
  </si>
  <si>
    <t>***</t>
  </si>
  <si>
    <t>GAZINO CARREFOUR</t>
  </si>
  <si>
    <t>Gazino Carrefour</t>
  </si>
  <si>
    <t>Bass,Sedm</t>
  </si>
  <si>
    <t>DOUMBIADOUGOU</t>
  </si>
  <si>
    <t>Doumbiadougou</t>
  </si>
  <si>
    <t>TIAPOUM</t>
  </si>
  <si>
    <t>TROUKASSO</t>
  </si>
  <si>
    <t>Troukasso</t>
  </si>
  <si>
    <t>KONGODJAN</t>
  </si>
  <si>
    <t>Kongodjan</t>
  </si>
  <si>
    <t>26;35</t>
  </si>
  <si>
    <t>Positif</t>
  </si>
  <si>
    <t>KOFFIKANKRO</t>
  </si>
  <si>
    <t>Koffikankro</t>
  </si>
  <si>
    <t>Bass, Sedm</t>
  </si>
  <si>
    <t>BOUEGNE</t>
  </si>
  <si>
    <t>Bouegne</t>
  </si>
  <si>
    <t>GOH-DJIBOUA</t>
  </si>
  <si>
    <t>LOH-DJIBOUA</t>
  </si>
  <si>
    <t>DIVO</t>
  </si>
  <si>
    <t>Divo</t>
  </si>
  <si>
    <t>PAS ENCORE FORE OU DONNEES ABSENTES</t>
  </si>
  <si>
    <t>OIM</t>
  </si>
  <si>
    <t>NORD-OUEST</t>
  </si>
  <si>
    <t>DENGUELE</t>
  </si>
  <si>
    <t>FOLON</t>
  </si>
  <si>
    <t>MINIGNAN</t>
  </si>
  <si>
    <t>DIOROZON</t>
  </si>
  <si>
    <t>Diorozon</t>
  </si>
  <si>
    <t>AhAh</t>
  </si>
  <si>
    <t>57;61;64</t>
  </si>
  <si>
    <t>WOROBA</t>
  </si>
  <si>
    <t>BAFING</t>
  </si>
  <si>
    <t>TOUBA</t>
  </si>
  <si>
    <t>OUANINOU</t>
  </si>
  <si>
    <t>Ohidougou</t>
  </si>
  <si>
    <t>[AH]</t>
  </si>
  <si>
    <t>28;39;45</t>
  </si>
  <si>
    <t>TONKPI</t>
  </si>
  <si>
    <t>DANANE</t>
  </si>
  <si>
    <t>GBENTA</t>
  </si>
  <si>
    <t>Gbenta</t>
  </si>
  <si>
    <t>Q→khk↘</t>
  </si>
  <si>
    <t>FORATEC</t>
  </si>
  <si>
    <t>SUD-OUEST</t>
  </si>
  <si>
    <t>BAS-SASSANDRA</t>
  </si>
  <si>
    <t>SAN-PEDRO</t>
  </si>
  <si>
    <t>BIGNE</t>
  </si>
  <si>
    <t>Bigne 08</t>
  </si>
  <si>
    <t>GEFACO</t>
  </si>
  <si>
    <t>GBOKLE</t>
  </si>
  <si>
    <t>SASSANDRA</t>
  </si>
  <si>
    <t>GODEH</t>
  </si>
  <si>
    <t>Gode</t>
  </si>
  <si>
    <t>MONTGNES</t>
  </si>
  <si>
    <t>CAVALLY</t>
  </si>
  <si>
    <t>TAI</t>
  </si>
  <si>
    <t>DAOBLY</t>
  </si>
  <si>
    <t>Doably</t>
  </si>
  <si>
    <t>TABOU</t>
  </si>
  <si>
    <t>PROLLO</t>
  </si>
  <si>
    <t>Prollo</t>
  </si>
  <si>
    <t>A[h</t>
  </si>
  <si>
    <t>17;25</t>
  </si>
  <si>
    <t>PATA IDIE</t>
  </si>
  <si>
    <t>Pata Idie</t>
  </si>
  <si>
    <t>29;36</t>
  </si>
  <si>
    <t>ABIDJAN</t>
  </si>
  <si>
    <t>ATTINGUE</t>
  </si>
  <si>
    <t>Attingue</t>
  </si>
  <si>
    <t>HK</t>
  </si>
  <si>
    <t>WORODOUGOU</t>
  </si>
  <si>
    <t>SEGUELA</t>
  </si>
  <si>
    <t>BOROTOUKORO</t>
  </si>
  <si>
    <t>Secteur E (Complex_Sucrivoire)</t>
  </si>
  <si>
    <t>[H]</t>
  </si>
  <si>
    <t>19;33;54</t>
  </si>
  <si>
    <t>Kangana(Complex_Sucrivoire)</t>
  </si>
  <si>
    <t>Bananikoro (Complex_Sucr)</t>
  </si>
  <si>
    <t>Q[h</t>
  </si>
  <si>
    <t xml:space="preserve">ARRET FAUX SOCLE </t>
  </si>
  <si>
    <t>SATELIM</t>
  </si>
  <si>
    <t>MAFERE</t>
  </si>
  <si>
    <t>Usine Palmier à Huile</t>
  </si>
  <si>
    <t>k</t>
  </si>
  <si>
    <t>PAS ENCORE FORE</t>
  </si>
  <si>
    <t>PARFACI</t>
  </si>
  <si>
    <t>EST</t>
  </si>
  <si>
    <t>ZANZAN</t>
  </si>
  <si>
    <t>GONTOUGO</t>
  </si>
  <si>
    <t>BONDOUKOU</t>
  </si>
  <si>
    <t>ABEMA</t>
  </si>
  <si>
    <t>Abema (F1)</t>
  </si>
  <si>
    <t>SE2L0</t>
  </si>
  <si>
    <t>h→A</t>
  </si>
  <si>
    <t>16_17; 26_29;46_50</t>
  </si>
  <si>
    <t>Abema (F2)</t>
  </si>
  <si>
    <t>SE2L2</t>
  </si>
  <si>
    <t>16_17; 26_29;46_51</t>
  </si>
  <si>
    <t>TISSIE</t>
  </si>
  <si>
    <t>Tissie</t>
  </si>
  <si>
    <t>SE1L2</t>
  </si>
  <si>
    <t>36_37;43;58_59</t>
  </si>
  <si>
    <t>SE1L0</t>
  </si>
  <si>
    <t>Qa</t>
  </si>
  <si>
    <t>32_33;48_49</t>
  </si>
  <si>
    <t>N'DOUCI</t>
  </si>
  <si>
    <t>N'Douci-Foratec 1</t>
  </si>
  <si>
    <t>N'Douci-Foratec 2</t>
  </si>
  <si>
    <t>Cité Sucrivoire</t>
  </si>
  <si>
    <t>ha</t>
  </si>
  <si>
    <t xml:space="preserve">Bananikoro </t>
  </si>
  <si>
    <t>khkh</t>
  </si>
  <si>
    <t>CENTRE</t>
  </si>
  <si>
    <t>LACS</t>
  </si>
  <si>
    <t>BELIER</t>
  </si>
  <si>
    <t>DJEKANOU</t>
  </si>
  <si>
    <t>YOBOUEKRO</t>
  </si>
  <si>
    <t>Yobouekro (F1)</t>
  </si>
  <si>
    <t>Yobouekro (F2)</t>
  </si>
  <si>
    <t>GBOHUA</t>
  </si>
  <si>
    <t>Gbohua_Entrée (F1)</t>
  </si>
  <si>
    <t>Gbohua_Parcelle (F2)</t>
  </si>
  <si>
    <t>KABADOUGOU</t>
  </si>
  <si>
    <t>ODIENNE</t>
  </si>
  <si>
    <t>YAGBEDOUGOU</t>
  </si>
  <si>
    <t>Yagbedougou</t>
  </si>
  <si>
    <t>[A]</t>
  </si>
  <si>
    <t>GBONDIEDOUGOU</t>
  </si>
  <si>
    <t>Gbondiedougou</t>
  </si>
  <si>
    <t>[KH]</t>
  </si>
  <si>
    <t>MBANA</t>
  </si>
  <si>
    <t>M'bana</t>
  </si>
  <si>
    <t>MAZELA</t>
  </si>
  <si>
    <t>Mazela</t>
  </si>
  <si>
    <t>SAMATIGUILA</t>
  </si>
  <si>
    <t>KEREBADOUDOU</t>
  </si>
  <si>
    <t>Kerebadougou</t>
  </si>
  <si>
    <t>K</t>
  </si>
  <si>
    <t>MAMOUGOULA</t>
  </si>
  <si>
    <t>Mamougoula</t>
  </si>
  <si>
    <t>hKH</t>
  </si>
  <si>
    <t>BARADJAN</t>
  </si>
  <si>
    <t>Baradjan</t>
  </si>
  <si>
    <t>Kere1</t>
  </si>
  <si>
    <t>KADIOLA</t>
  </si>
  <si>
    <t>Kadiola</t>
  </si>
  <si>
    <t>KOTOUBA</t>
  </si>
  <si>
    <t>Kotouba</t>
  </si>
  <si>
    <t>KANIASSO</t>
  </si>
  <si>
    <t>LINGUEKORO</t>
  </si>
  <si>
    <t>Linguekoro</t>
  </si>
  <si>
    <t>A[</t>
  </si>
  <si>
    <t>SEGUELON</t>
  </si>
  <si>
    <t>SANGBANI</t>
  </si>
  <si>
    <t>Sangbani 1</t>
  </si>
  <si>
    <t>h</t>
  </si>
  <si>
    <t>NINGOUN</t>
  </si>
  <si>
    <t>Ningoun</t>
  </si>
  <si>
    <t>Kh</t>
  </si>
  <si>
    <t>ZEGBAO</t>
  </si>
  <si>
    <t>Zegbao</t>
  </si>
  <si>
    <t>NDONIEGUE</t>
  </si>
  <si>
    <t>Ndoniegue</t>
  </si>
  <si>
    <t>NIENESSO</t>
  </si>
  <si>
    <t>Nienesso</t>
  </si>
  <si>
    <t>IRC</t>
  </si>
  <si>
    <t>DUEKOUE</t>
  </si>
  <si>
    <t>Nouveau Quartier</t>
  </si>
  <si>
    <t>GODEKRO</t>
  </si>
  <si>
    <t>Godekro</t>
  </si>
  <si>
    <t>NANANDI</t>
  </si>
  <si>
    <t>Nanandi</t>
  </si>
  <si>
    <t>FACOBLY</t>
  </si>
  <si>
    <t>SEMIEN</t>
  </si>
  <si>
    <t>Semien</t>
  </si>
  <si>
    <t>NORD</t>
  </si>
  <si>
    <t>SAVANES</t>
  </si>
  <si>
    <t>TCHOLOGO</t>
  </si>
  <si>
    <t>FERKESSEDOUGOU</t>
  </si>
  <si>
    <t>LASSOLOGO</t>
  </si>
  <si>
    <t>Lassologo 1</t>
  </si>
  <si>
    <t>32;43;59,5</t>
  </si>
  <si>
    <t>OUANGOLODOUGOU</t>
  </si>
  <si>
    <t>NIANGOROVOGO</t>
  </si>
  <si>
    <t>Niangorovogo 1</t>
  </si>
  <si>
    <t>Niangorovogo 2</t>
  </si>
  <si>
    <t>Q]h</t>
  </si>
  <si>
    <t>HOUPHOUETKAHA</t>
  </si>
  <si>
    <t>HouphouetKaha 2</t>
  </si>
  <si>
    <t>27;37;53</t>
  </si>
  <si>
    <t>PORO</t>
  </si>
  <si>
    <t>DIKODOUGOU</t>
  </si>
  <si>
    <t>KAPREME</t>
  </si>
  <si>
    <t>Kapreme 1</t>
  </si>
  <si>
    <t xml:space="preserve">KAPREME </t>
  </si>
  <si>
    <t>Kapreme 2</t>
  </si>
  <si>
    <t>26;42</t>
  </si>
  <si>
    <t>KORHOGO</t>
  </si>
  <si>
    <t>NABORIKAHA</t>
  </si>
  <si>
    <t>Naborikaha 1</t>
  </si>
  <si>
    <t>35;53</t>
  </si>
  <si>
    <t>Naborikaha 2</t>
  </si>
  <si>
    <t>31;48</t>
  </si>
  <si>
    <t>SE4</t>
  </si>
  <si>
    <t>32;61</t>
  </si>
  <si>
    <t>SEKONKAHA</t>
  </si>
  <si>
    <t>Sekonkaha 1</t>
  </si>
  <si>
    <t>12;23;38</t>
  </si>
  <si>
    <t>Sekonkaha 2</t>
  </si>
  <si>
    <t>28;33</t>
  </si>
  <si>
    <t>SINEMATIALI</t>
  </si>
  <si>
    <t>NANNOUGOUN</t>
  </si>
  <si>
    <t>Nannougoun</t>
  </si>
  <si>
    <t>25;43;55</t>
  </si>
  <si>
    <t>NABODIELIKAHA</t>
  </si>
  <si>
    <t>Nabodielikaha</t>
  </si>
  <si>
    <t>15;21;24;38;66</t>
  </si>
  <si>
    <t>DAGPALÉ</t>
  </si>
  <si>
    <t>Dagpalé</t>
  </si>
  <si>
    <t>35;46</t>
  </si>
  <si>
    <t>TEPOGOVOGO</t>
  </si>
  <si>
    <t>Teopogovogo 2</t>
  </si>
  <si>
    <t>31;39;47;57</t>
  </si>
  <si>
    <t>Teopogovogo 3</t>
  </si>
  <si>
    <t>ONEP</t>
  </si>
  <si>
    <t>FORO</t>
  </si>
  <si>
    <t>Foro 1/1</t>
  </si>
  <si>
    <t>[H</t>
  </si>
  <si>
    <t>Foro 2/2</t>
  </si>
  <si>
    <t>hkh</t>
  </si>
  <si>
    <t>Lassologo 2</t>
  </si>
  <si>
    <t>~H</t>
  </si>
  <si>
    <t>GOUNTOUGO</t>
  </si>
  <si>
    <t>TANKESSE</t>
  </si>
  <si>
    <t>OUANGUI</t>
  </si>
  <si>
    <t>Ouangui</t>
  </si>
  <si>
    <t>Qh↘</t>
  </si>
  <si>
    <t>Tankesse</t>
  </si>
  <si>
    <t>−h</t>
  </si>
  <si>
    <t>35;40(bipH2O)</t>
  </si>
  <si>
    <t>KOUN-FAO</t>
  </si>
  <si>
    <t>KOTOGWANDA</t>
  </si>
  <si>
    <t>Kotogwanda</t>
  </si>
  <si>
    <t>SOITP</t>
  </si>
  <si>
    <t>MARAHOUE</t>
  </si>
  <si>
    <t>BOUAFLE</t>
  </si>
  <si>
    <t>DIACOHOU</t>
  </si>
  <si>
    <t>Diacohu</t>
  </si>
  <si>
    <t>hh</t>
  </si>
  <si>
    <t>DIARABANA</t>
  </si>
  <si>
    <t>Diarabana</t>
  </si>
  <si>
    <t>11-17;18</t>
  </si>
  <si>
    <t>GTPCI</t>
  </si>
  <si>
    <t>05-août 2017</t>
  </si>
  <si>
    <t>PACOBO</t>
  </si>
  <si>
    <t>Pacobo</t>
  </si>
  <si>
    <t>ABEDA SARL</t>
  </si>
  <si>
    <t>ABENGOUROU</t>
  </si>
  <si>
    <t>INDENIE-DJUABLIN</t>
  </si>
  <si>
    <t>Manzannouan</t>
  </si>
  <si>
    <t>Manzanouan</t>
  </si>
  <si>
    <t xml:space="preserve">CONSEIL REGIONAL </t>
  </si>
  <si>
    <t>Bossokankro</t>
  </si>
  <si>
    <t>ABEDA</t>
  </si>
  <si>
    <t>10-15juil.-17</t>
  </si>
  <si>
    <t xml:space="preserve">LACS </t>
  </si>
  <si>
    <t>MORONOU</t>
  </si>
  <si>
    <t>ARRAH</t>
  </si>
  <si>
    <t>KOUADIOKRO</t>
  </si>
  <si>
    <t>Kouadiokro</t>
  </si>
  <si>
    <t>10-15Juil.-17</t>
  </si>
  <si>
    <t>TANOSSO</t>
  </si>
  <si>
    <t>Tanosso</t>
  </si>
  <si>
    <t>51;65;80</t>
  </si>
  <si>
    <t>CNCTPC</t>
  </si>
  <si>
    <t>23-25 Juil.2017</t>
  </si>
  <si>
    <t>GBELEBAN</t>
  </si>
  <si>
    <t>Gbéléban</t>
  </si>
  <si>
    <t>22-23 août 2017</t>
  </si>
  <si>
    <t>LAKOTA</t>
  </si>
  <si>
    <t>NIAZAROKO</t>
  </si>
  <si>
    <t>Niazaroko</t>
  </si>
  <si>
    <t>Pacobo 2</t>
  </si>
  <si>
    <t>Epaisseur Socle foré</t>
  </si>
  <si>
    <t>Courbes de Trainés E,</t>
  </si>
  <si>
    <r>
      <t>A</t>
    </r>
    <r>
      <rPr>
        <sz val="11"/>
        <color indexed="36"/>
        <rFont val="Calibri"/>
        <family val="2"/>
        <scheme val="minor"/>
      </rPr>
      <t>↑</t>
    </r>
  </si>
  <si>
    <r>
      <t>H</t>
    </r>
    <r>
      <rPr>
        <sz val="11"/>
        <color indexed="36"/>
        <rFont val="Calibri"/>
        <family val="2"/>
        <scheme val="minor"/>
      </rPr>
      <t>→</t>
    </r>
    <r>
      <rPr>
        <sz val="11"/>
        <color indexed="36"/>
        <rFont val="Calibri"/>
        <family val="2"/>
        <scheme val="minor"/>
      </rPr>
      <t>Qa</t>
    </r>
  </si>
  <si>
    <r>
      <t>Ah'</t>
    </r>
    <r>
      <rPr>
        <sz val="11"/>
        <color indexed="36"/>
        <rFont val="Calibri"/>
        <family val="2"/>
        <scheme val="minor"/>
      </rPr>
      <t>↘</t>
    </r>
  </si>
  <si>
    <r>
      <t>Qa</t>
    </r>
    <r>
      <rPr>
        <sz val="11"/>
        <color indexed="36"/>
        <rFont val="Calibri"/>
        <family val="2"/>
        <scheme val="minor"/>
      </rPr>
      <t>↗</t>
    </r>
  </si>
  <si>
    <r>
      <t>A</t>
    </r>
    <r>
      <rPr>
        <sz val="11"/>
        <color indexed="36"/>
        <rFont val="Calibri"/>
        <family val="2"/>
        <scheme val="minor"/>
      </rPr>
      <t>→</t>
    </r>
  </si>
  <si>
    <r>
      <rPr>
        <sz val="11"/>
        <color indexed="36"/>
        <rFont val="Calibri"/>
        <family val="2"/>
        <scheme val="minor"/>
      </rPr>
      <t>~</t>
    </r>
    <r>
      <rPr>
        <sz val="11"/>
        <color indexed="36"/>
        <rFont val="Calibri"/>
        <family val="2"/>
        <scheme val="minor"/>
      </rPr>
      <t>hkh</t>
    </r>
  </si>
  <si>
    <r>
      <t>Q</t>
    </r>
    <r>
      <rPr>
        <sz val="11"/>
        <color indexed="36"/>
        <rFont val="Calibri"/>
        <family val="2"/>
        <scheme val="minor"/>
      </rPr>
      <t>↗</t>
    </r>
    <r>
      <rPr>
        <sz val="11"/>
        <color indexed="36"/>
        <rFont val="Calibri"/>
        <family val="2"/>
        <scheme val="minor"/>
      </rPr>
      <t>a</t>
    </r>
  </si>
  <si>
    <r>
      <t>H</t>
    </r>
    <r>
      <rPr>
        <sz val="11"/>
        <color indexed="36"/>
        <rFont val="Calibri"/>
        <family val="2"/>
        <scheme val="minor"/>
      </rPr>
      <t>→</t>
    </r>
    <r>
      <rPr>
        <sz val="11"/>
        <color indexed="36"/>
        <rFont val="Calibri"/>
        <family val="2"/>
        <scheme val="minor"/>
      </rPr>
      <t>A</t>
    </r>
  </si>
  <si>
    <r>
      <t>h'</t>
    </r>
    <r>
      <rPr>
        <sz val="11"/>
        <color indexed="36"/>
        <rFont val="Calibri"/>
        <family val="2"/>
        <scheme val="minor"/>
      </rPr>
      <t>→</t>
    </r>
    <r>
      <rPr>
        <sz val="11"/>
        <color indexed="36"/>
        <rFont val="Calibri"/>
        <family val="2"/>
        <scheme val="minor"/>
      </rPr>
      <t>A</t>
    </r>
  </si>
  <si>
    <r>
      <t>A</t>
    </r>
    <r>
      <rPr>
        <sz val="11"/>
        <color indexed="36"/>
        <rFont val="Calibri"/>
        <family val="2"/>
        <scheme val="minor"/>
      </rPr>
      <t>→</t>
    </r>
    <r>
      <rPr>
        <sz val="11"/>
        <color indexed="36"/>
        <rFont val="Calibri"/>
        <family val="2"/>
        <scheme val="minor"/>
      </rPr>
      <t>ka</t>
    </r>
  </si>
  <si>
    <r>
      <t>h</t>
    </r>
    <r>
      <rPr>
        <sz val="11"/>
        <color indexed="36"/>
        <rFont val="Calibri"/>
        <family val="2"/>
        <scheme val="minor"/>
      </rPr>
      <t>↑</t>
    </r>
  </si>
  <si>
    <r>
      <rPr>
        <sz val="11"/>
        <color theme="1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qH</t>
    </r>
  </si>
  <si>
    <r>
      <t>H</t>
    </r>
    <r>
      <rPr>
        <sz val="11"/>
        <color indexed="36"/>
        <rFont val="Calibri"/>
        <family val="2"/>
        <scheme val="minor"/>
      </rPr>
      <t>↓</t>
    </r>
  </si>
  <si>
    <r>
      <t>H</t>
    </r>
    <r>
      <rPr>
        <sz val="11"/>
        <color indexed="36"/>
        <rFont val="Calibri"/>
        <family val="2"/>
        <scheme val="minor"/>
      </rPr>
      <t>↗</t>
    </r>
  </si>
  <si>
    <r>
      <t>h</t>
    </r>
    <r>
      <rPr>
        <sz val="11"/>
        <color indexed="36"/>
        <rFont val="Calibri"/>
        <family val="2"/>
        <scheme val="minor"/>
      </rPr>
      <t>↓</t>
    </r>
  </si>
  <si>
    <r>
      <rPr>
        <sz val="11"/>
        <color theme="1"/>
        <rFont val="Calibri"/>
        <family val="2"/>
        <scheme val="minor"/>
      </rPr>
      <t>−</t>
    </r>
    <r>
      <rPr>
        <sz val="11"/>
        <color theme="1"/>
        <rFont val="Calibri"/>
        <family val="2"/>
        <scheme val="minor"/>
      </rPr>
      <t>h</t>
    </r>
  </si>
  <si>
    <r>
      <t>h</t>
    </r>
    <r>
      <rPr>
        <sz val="11"/>
        <color indexed="36"/>
        <rFont val="Calibri"/>
        <family val="2"/>
        <scheme val="minor"/>
      </rPr>
      <t>↗</t>
    </r>
  </si>
  <si>
    <r>
      <t>A</t>
    </r>
    <r>
      <rPr>
        <sz val="11"/>
        <color indexed="36"/>
        <rFont val="Calibri"/>
        <family val="2"/>
        <scheme val="minor"/>
      </rPr>
      <t>→</t>
    </r>
    <r>
      <rPr>
        <sz val="11"/>
        <color indexed="36"/>
        <rFont val="Calibri"/>
        <family val="2"/>
        <scheme val="minor"/>
      </rPr>
      <t>ah</t>
    </r>
  </si>
  <si>
    <r>
      <t>kh</t>
    </r>
    <r>
      <rPr>
        <sz val="11"/>
        <color indexed="36"/>
        <rFont val="Calibri"/>
        <family val="2"/>
        <scheme val="minor"/>
      </rPr>
      <t>↘</t>
    </r>
    <r>
      <rPr>
        <sz val="11"/>
        <color indexed="36"/>
        <rFont val="Calibri"/>
        <family val="2"/>
        <scheme val="minor"/>
      </rPr>
      <t>a</t>
    </r>
  </si>
  <si>
    <r>
      <t>K</t>
    </r>
    <r>
      <rPr>
        <sz val="11"/>
        <color indexed="36"/>
        <rFont val="Calibri"/>
        <family val="2"/>
        <scheme val="minor"/>
      </rPr>
      <t>↓</t>
    </r>
  </si>
  <si>
    <r>
      <t>Kh</t>
    </r>
    <r>
      <rPr>
        <sz val="11"/>
        <color indexed="36"/>
        <rFont val="Calibri"/>
        <family val="2"/>
        <scheme val="minor"/>
      </rPr>
      <t>↗</t>
    </r>
  </si>
  <si>
    <r>
      <t>H</t>
    </r>
    <r>
      <rPr>
        <sz val="11"/>
        <color indexed="36"/>
        <rFont val="Calibri"/>
        <family val="2"/>
        <scheme val="minor"/>
      </rPr>
      <t>↑</t>
    </r>
  </si>
  <si>
    <r>
      <rPr>
        <sz val="11"/>
        <color indexed="36"/>
        <rFont val="Calibri"/>
        <family val="2"/>
        <scheme val="minor"/>
      </rPr>
      <t>↓</t>
    </r>
    <r>
      <rPr>
        <sz val="11"/>
        <color indexed="36"/>
        <rFont val="Calibri"/>
        <family val="2"/>
        <scheme val="minor"/>
      </rPr>
      <t>kh</t>
    </r>
    <r>
      <rPr>
        <sz val="11"/>
        <color indexed="36"/>
        <rFont val="Calibri"/>
        <family val="2"/>
        <scheme val="minor"/>
      </rPr>
      <t>↑[→</t>
    </r>
    <r>
      <rPr>
        <sz val="11"/>
        <color indexed="36"/>
        <rFont val="Calibri"/>
        <family val="2"/>
        <scheme val="minor"/>
      </rPr>
      <t>a</t>
    </r>
  </si>
  <si>
    <t>SO.I.T.P</t>
  </si>
  <si>
    <t>24-25 août 2017</t>
  </si>
  <si>
    <t>GHAHIRI</t>
  </si>
  <si>
    <t>Ghahiri</t>
  </si>
  <si>
    <t>UNICEF-GTPCI</t>
  </si>
  <si>
    <t>unicef</t>
  </si>
  <si>
    <t xml:space="preserve">locality </t>
  </si>
  <si>
    <t>number of sounding</t>
  </si>
  <si>
    <t>VES drilled</t>
  </si>
  <si>
    <t xml:space="preserve">Theorical alteration in meter </t>
  </si>
  <si>
    <t>ERT profiles</t>
  </si>
  <si>
    <t xml:space="preserve">VES type </t>
  </si>
  <si>
    <t xml:space="preserve">Borehole depth max </t>
  </si>
  <si>
    <t xml:space="preserve">thickness of rocks </t>
  </si>
  <si>
    <t>flow rate  (m3/h)</t>
  </si>
  <si>
    <t>Level of water infloz (1; 2; 3; 4; 5)</t>
  </si>
  <si>
    <t>recommanded flow rate  (m3/h)</t>
  </si>
  <si>
    <t>Drilling statutes</t>
  </si>
  <si>
    <t>Geology</t>
  </si>
  <si>
    <t xml:space="preserve">Data missed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</si>
</sst>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&quot;€&quot;_-;\-* #,##0.00\ &quot;€&quot;_-;_-* &quot;-&quot;??\ &quot;€&quot;_-;_-@_-"/>
    <numFmt numFmtId="165" formatCode="mm/dd/yy_)"/>
    <numFmt numFmtId="166" formatCode="_([$€]* #,##0.00_);_([$€]* \(#,##0.00\);_([$€]* &quot;-&quot;??_);_(@_)"/>
    <numFmt numFmtId="167" formatCode="#,##0\ [$€-40C]"/>
    <numFmt numFmtId="168" formatCode="00000"/>
    <numFmt numFmtId="169" formatCode="_-* #,##0\ &quot;€&quot;_-;\-* #,##0\ &quot;€&quot;_-;_-* &quot;-&quot;??\ &quot;€&quot;_-;_-@_-"/>
    <numFmt numFmtId="170" formatCode="[$-40C]d\-mmm\-yy;@"/>
    <numFmt numFmtId="171" formatCode="[$-40C]dd\-mmm\-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36"/>
      <name val="Calibri"/>
      <family val="2"/>
      <scheme val="minor"/>
    </font>
    <font>
      <sz val="8"/>
      <color theme="1"/>
      <name val="Century Gothic"/>
      <family val="2"/>
    </font>
    <font>
      <b/>
      <sz val="8"/>
      <color theme="1"/>
      <name val="Century Gothic"/>
      <family val="2"/>
    </font>
    <font>
      <b/>
      <sz val="8"/>
      <color indexed="57"/>
      <name val="Arial"/>
      <family val="2"/>
    </font>
    <font>
      <b/>
      <sz val="7"/>
      <name val="Century Gothic"/>
      <family val="2"/>
    </font>
    <font>
      <b/>
      <sz val="7"/>
      <color indexed="57"/>
      <name val="Century Gothic"/>
      <family val="2"/>
    </font>
    <font>
      <b/>
      <sz val="8"/>
      <color theme="0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i/>
      <sz val="11"/>
      <color rgb="FF7030A0"/>
      <name val="Century Gothic"/>
      <family val="2"/>
    </font>
    <font>
      <sz val="11"/>
      <color theme="1"/>
      <name val="Calibri"/>
      <family val="2"/>
      <scheme val="minor"/>
    </font>
    <font>
      <sz val="7"/>
      <color theme="1"/>
      <name val="Century Gothic"/>
      <family val="2"/>
    </font>
    <font>
      <sz val="11"/>
      <color rgb="FFFF0000"/>
      <name val="Century Gothic"/>
      <family val="2"/>
    </font>
    <font>
      <b/>
      <sz val="11"/>
      <color rgb="FF7030A0"/>
      <name val="Century Gothic"/>
      <family val="2"/>
    </font>
    <font>
      <b/>
      <i/>
      <sz val="11"/>
      <color indexed="36"/>
      <name val="Century Gothic"/>
      <family val="2"/>
    </font>
    <font>
      <sz val="11"/>
      <name val="Century Gothic"/>
      <family val="2"/>
    </font>
    <font>
      <sz val="10"/>
      <color indexed="8"/>
      <name val="Century Gothic"/>
      <family val="2"/>
    </font>
    <font>
      <sz val="11"/>
      <color indexed="8"/>
      <name val="Century Gothic"/>
      <family val="2"/>
    </font>
    <font>
      <b/>
      <sz val="9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/>
    <xf numFmtId="167" fontId="0" fillId="0" borderId="0" xfId="2" applyNumberFormat="1" applyFont="1"/>
    <xf numFmtId="0" fontId="0" fillId="0" borderId="0" xfId="2" applyNumberFormat="1" applyFont="1"/>
    <xf numFmtId="0" fontId="2" fillId="0" borderId="0" xfId="0" applyFont="1" applyAlignment="1"/>
    <xf numFmtId="14" fontId="0" fillId="0" borderId="0" xfId="0" applyNumberFormat="1" applyAlignment="1"/>
    <xf numFmtId="168" fontId="2" fillId="0" borderId="0" xfId="0" applyNumberFormat="1" applyFont="1" applyAlignment="1">
      <alignment horizontal="right"/>
    </xf>
    <xf numFmtId="0" fontId="5" fillId="2" borderId="0" xfId="0" applyFont="1" applyFill="1" applyBorder="1" applyAlignment="1">
      <alignment horizontal="center" vertical="center" wrapText="1"/>
    </xf>
    <xf numFmtId="165" fontId="5" fillId="2" borderId="0" xfId="0" applyNumberFormat="1" applyFont="1" applyFill="1" applyBorder="1" applyAlignment="1">
      <alignment horizontal="center" vertical="center" wrapText="1"/>
    </xf>
    <xf numFmtId="167" fontId="5" fillId="2" borderId="0" xfId="2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6" fillId="0" borderId="0" xfId="0" quotePrefix="1" applyFont="1"/>
    <xf numFmtId="0" fontId="7" fillId="0" borderId="0" xfId="0" quotePrefix="1" applyFont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3" borderId="0" xfId="0" applyFill="1"/>
    <xf numFmtId="0" fontId="10" fillId="4" borderId="5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170" fontId="10" fillId="5" borderId="3" xfId="0" applyNumberFormat="1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top"/>
    </xf>
    <xf numFmtId="0" fontId="12" fillId="0" borderId="0" xfId="0" applyFont="1" applyFill="1" applyAlignment="1">
      <alignment horizontal="center" vertical="top"/>
    </xf>
    <xf numFmtId="0" fontId="13" fillId="10" borderId="3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top"/>
    </xf>
    <xf numFmtId="0" fontId="15" fillId="4" borderId="5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 wrapText="1"/>
    </xf>
    <xf numFmtId="170" fontId="15" fillId="5" borderId="3" xfId="0" applyNumberFormat="1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5" fillId="6" borderId="12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170" fontId="17" fillId="0" borderId="1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right" vertical="center"/>
    </xf>
    <xf numFmtId="0" fontId="17" fillId="0" borderId="2" xfId="0" applyFont="1" applyFill="1" applyBorder="1" applyAlignment="1">
      <alignment horizontal="center" vertical="center"/>
    </xf>
    <xf numFmtId="0" fontId="19" fillId="11" borderId="0" xfId="0" applyFont="1" applyFill="1"/>
    <xf numFmtId="0" fontId="19" fillId="0" borderId="0" xfId="0" applyFont="1" applyFill="1"/>
    <xf numFmtId="0" fontId="20" fillId="10" borderId="3" xfId="0" applyFont="1" applyFill="1" applyBorder="1" applyAlignment="1">
      <alignment horizontal="center"/>
    </xf>
    <xf numFmtId="0" fontId="20" fillId="0" borderId="0" xfId="0" applyFont="1" applyFill="1"/>
    <xf numFmtId="0" fontId="16" fillId="7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right" vertical="center"/>
    </xf>
    <xf numFmtId="0" fontId="17" fillId="0" borderId="7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center" vertical="center"/>
    </xf>
    <xf numFmtId="170" fontId="17" fillId="0" borderId="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170" fontId="17" fillId="0" borderId="6" xfId="0" applyNumberFormat="1" applyFont="1" applyFill="1" applyBorder="1" applyAlignment="1">
      <alignment horizontal="center" vertical="center"/>
    </xf>
    <xf numFmtId="14" fontId="17" fillId="0" borderId="6" xfId="0" applyNumberFormat="1" applyFont="1" applyFill="1" applyBorder="1" applyAlignment="1">
      <alignment horizontal="center" vertical="center"/>
    </xf>
    <xf numFmtId="164" fontId="17" fillId="0" borderId="6" xfId="0" applyNumberFormat="1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vertical="center"/>
    </xf>
    <xf numFmtId="0" fontId="17" fillId="0" borderId="10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right" vertical="center"/>
    </xf>
    <xf numFmtId="0" fontId="17" fillId="0" borderId="10" xfId="0" applyFont="1" applyFill="1" applyBorder="1" applyAlignment="1">
      <alignment horizontal="center" vertical="center"/>
    </xf>
    <xf numFmtId="0" fontId="21" fillId="0" borderId="7" xfId="0" applyFont="1" applyFill="1" applyBorder="1" applyAlignment="1">
      <alignment vertical="center"/>
    </xf>
    <xf numFmtId="0" fontId="18" fillId="0" borderId="3" xfId="0" applyFont="1" applyFill="1" applyBorder="1" applyAlignment="1">
      <alignment horizontal="right"/>
    </xf>
    <xf numFmtId="0" fontId="23" fillId="0" borderId="3" xfId="0" applyFont="1" applyFill="1" applyBorder="1" applyAlignment="1">
      <alignment horizontal="right" vertical="center"/>
    </xf>
    <xf numFmtId="17" fontId="17" fillId="0" borderId="3" xfId="0" applyNumberFormat="1" applyFont="1" applyFill="1" applyBorder="1" applyAlignment="1">
      <alignment horizontal="center" vertical="center"/>
    </xf>
    <xf numFmtId="14" fontId="17" fillId="0" borderId="3" xfId="0" applyNumberFormat="1" applyFon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170" fontId="26" fillId="0" borderId="6" xfId="0" applyNumberFormat="1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9" borderId="3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right" vertical="center"/>
    </xf>
    <xf numFmtId="0" fontId="17" fillId="0" borderId="7" xfId="0" applyFont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right" vertical="center"/>
    </xf>
    <xf numFmtId="0" fontId="21" fillId="8" borderId="3" xfId="0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170" fontId="17" fillId="10" borderId="3" xfId="0" applyNumberFormat="1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right" vertical="center"/>
    </xf>
    <xf numFmtId="0" fontId="17" fillId="3" borderId="7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right"/>
    </xf>
    <xf numFmtId="0" fontId="17" fillId="3" borderId="6" xfId="0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0" fontId="17" fillId="11" borderId="3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170" fontId="17" fillId="10" borderId="6" xfId="0" applyNumberFormat="1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right" vertical="center"/>
    </xf>
    <xf numFmtId="0" fontId="17" fillId="3" borderId="13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170" fontId="17" fillId="0" borderId="6" xfId="0" applyNumberFormat="1" applyFont="1" applyBorder="1" applyAlignment="1">
      <alignment horizontal="center" vertical="center"/>
    </xf>
    <xf numFmtId="17" fontId="17" fillId="0" borderId="6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9" fillId="0" borderId="0" xfId="0" applyFont="1" applyFill="1" applyAlignment="1">
      <alignment horizontal="center"/>
    </xf>
    <xf numFmtId="14" fontId="19" fillId="0" borderId="0" xfId="0" applyNumberFormat="1" applyFont="1" applyFill="1"/>
    <xf numFmtId="164" fontId="19" fillId="0" borderId="0" xfId="1" applyNumberFormat="1" applyFont="1" applyFill="1"/>
    <xf numFmtId="0" fontId="27" fillId="0" borderId="0" xfId="0" applyFont="1" applyFill="1" applyAlignment="1">
      <alignment horizontal="center"/>
    </xf>
    <xf numFmtId="0" fontId="27" fillId="0" borderId="0" xfId="0" applyFont="1" applyFill="1"/>
    <xf numFmtId="169" fontId="19" fillId="0" borderId="0" xfId="1" applyNumberFormat="1" applyFont="1" applyFill="1"/>
    <xf numFmtId="0" fontId="17" fillId="12" borderId="3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164" fontId="17" fillId="12" borderId="3" xfId="0" applyNumberFormat="1" applyFont="1" applyFill="1" applyBorder="1" applyAlignment="1">
      <alignment horizontal="center" vertical="center"/>
    </xf>
    <xf numFmtId="164" fontId="17" fillId="12" borderId="6" xfId="0" applyNumberFormat="1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right" vertical="center"/>
    </xf>
  </cellXfs>
  <cellStyles count="3">
    <cellStyle name="Currency" xfId="1" builtinId="4"/>
    <cellStyle name="Euro" xfId="2" xr:uid="{00000000-0005-0000-0000-000000000000}"/>
    <cellStyle name="Normal" xfId="0" builtinId="0"/>
  </cellStyles>
  <dxfs count="26"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numFmt numFmtId="16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numFmt numFmtId="170" formatCode="[$-40C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60093"/>
      <color rgb="FFFF33CC"/>
      <color rgb="FFD759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ropbox.com/s/mzm2i057s5c7dyb/SE3-L1N330.JPG?dl=0" TargetMode="External"/><Relationship Id="rId21" Type="http://schemas.openxmlformats.org/officeDocument/2006/relationships/hyperlink" Target="https://www.dropbox.com/s/qwzwkoosv7ycz7i/se3pk50l1.JPG?dl=0" TargetMode="External"/><Relationship Id="rId42" Type="http://schemas.openxmlformats.org/officeDocument/2006/relationships/hyperlink" Target="https://www.dropbox.com/s/l9bucglnp6ffu11/SE1PK30L3.JPG?dl=0" TargetMode="External"/><Relationship Id="rId63" Type="http://schemas.openxmlformats.org/officeDocument/2006/relationships/hyperlink" Target="https://www.dropbox.com/s/tbgcujti797th40/se2pk170l0.JPG?dl=0" TargetMode="External"/><Relationship Id="rId84" Type="http://schemas.openxmlformats.org/officeDocument/2006/relationships/hyperlink" Target="https://www.dropbox.com/s/dcdxps2y65ketv3/SE1%20&amp;%20SE2-L1N50.JPG?dl=0" TargetMode="External"/><Relationship Id="rId138" Type="http://schemas.openxmlformats.org/officeDocument/2006/relationships/hyperlink" Target="https://www.dropbox.com/s/a5a6sfwm0o08bda/SE1-L1.JPG?dl=0" TargetMode="External"/><Relationship Id="rId107" Type="http://schemas.openxmlformats.org/officeDocument/2006/relationships/hyperlink" Target="https://www.dropbox.com/s/7586hfi2d8jso59/SE1%201%20SE3%20L1_N280.JPG?dl=0" TargetMode="External"/><Relationship Id="rId11" Type="http://schemas.openxmlformats.org/officeDocument/2006/relationships/hyperlink" Target="https://www.dropbox.com/s/6k16anyfffs1rp3/SE2_LINGUE.jpg?dl=0" TargetMode="External"/><Relationship Id="rId32" Type="http://schemas.openxmlformats.org/officeDocument/2006/relationships/hyperlink" Target="https://www.dropbox.com/s/4o927fvcivyecdh/SE1_OIM_Gbenta.jpg?dl=0" TargetMode="External"/><Relationship Id="rId53" Type="http://schemas.openxmlformats.org/officeDocument/2006/relationships/hyperlink" Target="https://www.dropbox.com/s/md4kv5q43hpg92w/SE1PK170L1.JPG?dl=0" TargetMode="External"/><Relationship Id="rId74" Type="http://schemas.openxmlformats.org/officeDocument/2006/relationships/hyperlink" Target="https://www.dropbox.com/s/bpcn8lpemi8753r/se2pk300l0.JPG?dl=0" TargetMode="External"/><Relationship Id="rId128" Type="http://schemas.openxmlformats.org/officeDocument/2006/relationships/hyperlink" Target="https://www.dropbox.com/s/6xkxm9vwfaactm8/SE1-L1.JPG?dl=0" TargetMode="External"/><Relationship Id="rId149" Type="http://schemas.openxmlformats.org/officeDocument/2006/relationships/hyperlink" Target="https://www.dropbox.com/s/0n61lop3ql2k55u/SE1-SE2-SE3%20&amp;SE4-L0.JPG?dl=0" TargetMode="External"/><Relationship Id="rId5" Type="http://schemas.openxmlformats.org/officeDocument/2006/relationships/hyperlink" Target="https://www.dropbox.com/s/jb3k8ltd7pfwcq7/SE1L3PK40.JPG?dl=0" TargetMode="External"/><Relationship Id="rId95" Type="http://schemas.openxmlformats.org/officeDocument/2006/relationships/hyperlink" Target="https://www.dropbox.com/s/x48f6n1uj4qcbdp/SE1%20&amp;%20SE2-L3.JPG?dl=0" TargetMode="External"/><Relationship Id="rId22" Type="http://schemas.openxmlformats.org/officeDocument/2006/relationships/hyperlink" Target="https://www.dropbox.com/s/gnitrmhl476ciox/SE1PK30L0.JPG?dl=0" TargetMode="External"/><Relationship Id="rId27" Type="http://schemas.openxmlformats.org/officeDocument/2006/relationships/hyperlink" Target="https://www.dropbox.com/s/tv9jgofdubhqqye/SE2L0.jpg?dl=0" TargetMode="External"/><Relationship Id="rId43" Type="http://schemas.openxmlformats.org/officeDocument/2006/relationships/hyperlink" Target="https://www.dropbox.com/s/c6eght395a5j926/se1pk70l1.JPG?dl=0" TargetMode="External"/><Relationship Id="rId48" Type="http://schemas.openxmlformats.org/officeDocument/2006/relationships/hyperlink" Target="https://www.dropbox.com/s/o4rnwjewpluuv85/SE1PK100L1.JPG?dl=0" TargetMode="External"/><Relationship Id="rId64" Type="http://schemas.openxmlformats.org/officeDocument/2006/relationships/hyperlink" Target="https://www.dropbox.com/s/mzmye6mc87kfa31/se3pk250.JPG?dl=0" TargetMode="External"/><Relationship Id="rId69" Type="http://schemas.openxmlformats.org/officeDocument/2006/relationships/hyperlink" Target="https://www.dropbox.com/s/dymok72cmcare1t/SE1PK190L1.JPG?dl=0" TargetMode="External"/><Relationship Id="rId113" Type="http://schemas.openxmlformats.org/officeDocument/2006/relationships/hyperlink" Target="https://www.dropbox.com/s/9jofcqxx7n6aa0h/SE1-L3N205.JPG?dl=0" TargetMode="External"/><Relationship Id="rId118" Type="http://schemas.openxmlformats.org/officeDocument/2006/relationships/hyperlink" Target="https://www.dropbox.com/s/zlk4s5auxoyqu10/SE1%20&amp;%20SE2-L0.JPG?dl=0" TargetMode="External"/><Relationship Id="rId134" Type="http://schemas.openxmlformats.org/officeDocument/2006/relationships/hyperlink" Target="https://www.dropbox.com/s/jukpfd7tu3qffsf/SE1%20&amp;%20SE2%20-L0.JPG?dl=0" TargetMode="External"/><Relationship Id="rId139" Type="http://schemas.openxmlformats.org/officeDocument/2006/relationships/hyperlink" Target="https://www.dropbox.com/s/mjr070m0bgm8ieb/SE1%20&amp;%20SE2_L0N110.JPG?dl=0" TargetMode="External"/><Relationship Id="rId80" Type="http://schemas.openxmlformats.org/officeDocument/2006/relationships/hyperlink" Target="https://www.dropbox.com/s/evktykecpc95slp/SE1-L1N80.JPG?dl=0" TargetMode="External"/><Relationship Id="rId85" Type="http://schemas.openxmlformats.org/officeDocument/2006/relationships/hyperlink" Target="https://www.dropbox.com/s/bdz45ufjj892xzy/SE1%20&amp;%20SE2-L3%20N10.JPG?dl=0" TargetMode="External"/><Relationship Id="rId150" Type="http://schemas.openxmlformats.org/officeDocument/2006/relationships/hyperlink" Target="https://www.dropbox.com/s/13c62tuk1jk8j2g/SE1_L2N45.JPG?dl=0" TargetMode="External"/><Relationship Id="rId155" Type="http://schemas.openxmlformats.org/officeDocument/2006/relationships/hyperlink" Target="https://www.dropbox.com/s/zonvbnuwom963c6/SE1_L2N25.JPG?dl=0" TargetMode="External"/><Relationship Id="rId12" Type="http://schemas.openxmlformats.org/officeDocument/2006/relationships/hyperlink" Target="https://www.dropbox.com/s/z9ztxvrj3up1odm/SE2_KONGODJAN-AMANIKORO.jpg?dl=0" TargetMode="External"/><Relationship Id="rId17" Type="http://schemas.openxmlformats.org/officeDocument/2006/relationships/hyperlink" Target="https://www.dropbox.com/s/44z4t8jvi7jepyy/SE1_BOUEGNE.jpg?dl=0" TargetMode="External"/><Relationship Id="rId33" Type="http://schemas.openxmlformats.org/officeDocument/2006/relationships/hyperlink" Target="https://www.dropbox.com/s/uj5xw3jsztjjoka/SE2_OIM_Douably.jpg?dl=0" TargetMode="External"/><Relationship Id="rId38" Type="http://schemas.openxmlformats.org/officeDocument/2006/relationships/hyperlink" Target="https://www.dropbox.com/s/4yt5x7sjieevjpt/SE2_Foratec_Bananikoro.jpg?dl=0" TargetMode="External"/><Relationship Id="rId59" Type="http://schemas.openxmlformats.org/officeDocument/2006/relationships/hyperlink" Target="https://www.dropbox.com/s/p9t9we1hnv8bol9/SE1pk150l1.JPG?dl=0" TargetMode="External"/><Relationship Id="rId103" Type="http://schemas.openxmlformats.org/officeDocument/2006/relationships/hyperlink" Target="https://www.dropbox.com/s/ykvsv8jjn70ddc2/SE1-L2N175.JPG?dl=0" TargetMode="External"/><Relationship Id="rId108" Type="http://schemas.openxmlformats.org/officeDocument/2006/relationships/hyperlink" Target="https://www.dropbox.com/s/rdkfxbp000skl2n/SE1%20&amp;%20SE2-L3N100.JPG?dl=0" TargetMode="External"/><Relationship Id="rId124" Type="http://schemas.openxmlformats.org/officeDocument/2006/relationships/hyperlink" Target="https://www.dropbox.com/s/6xx7ss8uxkcb9yo/SE1%20&amp;%20SE2-L0.JPG?dl=0" TargetMode="External"/><Relationship Id="rId129" Type="http://schemas.openxmlformats.org/officeDocument/2006/relationships/hyperlink" Target="https://www.dropbox.com/s/izpv2govbs8dsx0/SE1%20&amp;%20SE2%20-L0.JPG?dl=0" TargetMode="External"/><Relationship Id="rId54" Type="http://schemas.openxmlformats.org/officeDocument/2006/relationships/hyperlink" Target="https://www.dropbox.com/s/lsb78im4gr5pnhb/SE1PK30L3.JPG?dl=0" TargetMode="External"/><Relationship Id="rId70" Type="http://schemas.openxmlformats.org/officeDocument/2006/relationships/hyperlink" Target="https://www.dropbox.com/s/0adj2qguyuy58m1/SE1pk20L3.JPG?dl=0" TargetMode="External"/><Relationship Id="rId75" Type="http://schemas.openxmlformats.org/officeDocument/2006/relationships/hyperlink" Target="https://www.dropbox.com/s/qyz5nmvrssxtokf/se2pk140%20l0.JPG?dl=0" TargetMode="External"/><Relationship Id="rId91" Type="http://schemas.openxmlformats.org/officeDocument/2006/relationships/hyperlink" Target="https://www.dropbox.com/s/ipx7vvhr90eib3v/SE2-L2N180.JPG?dl=0" TargetMode="External"/><Relationship Id="rId96" Type="http://schemas.openxmlformats.org/officeDocument/2006/relationships/hyperlink" Target="https://www.dropbox.com/s/t6u9nhu0o476s8w/SE1%20&amp;%20SE2-L1.JPG?dl=0" TargetMode="External"/><Relationship Id="rId140" Type="http://schemas.openxmlformats.org/officeDocument/2006/relationships/hyperlink" Target="https://www.dropbox.com/s/uqjo2h8dp50g9c3/SE1%20&amp;%20SE2-L0N130.JPG?dl=0" TargetMode="External"/><Relationship Id="rId145" Type="http://schemas.openxmlformats.org/officeDocument/2006/relationships/hyperlink" Target="https://www.dropbox.com/s/vmn4kk4rlmipc54/SE1-SE2-SE3%20&amp;%20SE4_L0.JPG?dl=0" TargetMode="External"/><Relationship Id="rId1" Type="http://schemas.openxmlformats.org/officeDocument/2006/relationships/hyperlink" Target="https://www.dropbox.com/s/eqihkah8ppp4avc/SE1PK60L2.JPG?dl=0" TargetMode="External"/><Relationship Id="rId6" Type="http://schemas.openxmlformats.org/officeDocument/2006/relationships/hyperlink" Target="https://www.dropbox.com/s/xddg0vo9f66w7bo/se1l2pk100.JPG?dl=0" TargetMode="External"/><Relationship Id="rId23" Type="http://schemas.openxmlformats.org/officeDocument/2006/relationships/hyperlink" Target="https://www.dropbox.com/s/zj5hzjj4xol0mne/SE1PK30L1.JPG?dl=0" TargetMode="External"/><Relationship Id="rId28" Type="http://schemas.openxmlformats.org/officeDocument/2006/relationships/hyperlink" Target="https://www.dropbox.com/s/x6ibyxzvqpwl9g5/SE2L2.jpg?dl=0" TargetMode="External"/><Relationship Id="rId49" Type="http://schemas.openxmlformats.org/officeDocument/2006/relationships/hyperlink" Target="https://www.dropbox.com/s/2r0xc7jlqjek327/SE1PK20L2.JPG?dl=0" TargetMode="External"/><Relationship Id="rId114" Type="http://schemas.openxmlformats.org/officeDocument/2006/relationships/hyperlink" Target="https://www.dropbox.com/s/ggzeq9x4y2ooaf9/SE1%20&amp;%20SE2%20-L2N250.JPG?dl=0" TargetMode="External"/><Relationship Id="rId119" Type="http://schemas.openxmlformats.org/officeDocument/2006/relationships/hyperlink" Target="https://www.dropbox.com/s/34otaic2ahkk1lu/SE1%20&amp;%20SE3%20-L2.JPG?dl=0" TargetMode="External"/><Relationship Id="rId44" Type="http://schemas.openxmlformats.org/officeDocument/2006/relationships/hyperlink" Target="https://www.dropbox.com/s/fqnnkd7hopors1h/se1pk80l3.JPG?dl=0" TargetMode="External"/><Relationship Id="rId60" Type="http://schemas.openxmlformats.org/officeDocument/2006/relationships/hyperlink" Target="https://www.dropbox.com/s/x64tz58ydxd1ytq/se2pk80l0.JPG?dl=0" TargetMode="External"/><Relationship Id="rId65" Type="http://schemas.openxmlformats.org/officeDocument/2006/relationships/hyperlink" Target="https://www.dropbox.com/s/rcv5tbyvxtpn21y/SE1PK130L1_Tepo%202.bmp?dl=0" TargetMode="External"/><Relationship Id="rId81" Type="http://schemas.openxmlformats.org/officeDocument/2006/relationships/hyperlink" Target="https://www.dropbox.com/s/33410lcoxigruz1/SE1-L1%20N185.JPG?dl=0" TargetMode="External"/><Relationship Id="rId86" Type="http://schemas.openxmlformats.org/officeDocument/2006/relationships/hyperlink" Target="https://www.dropbox.com/s/hyfgkyrdrfz8a7k/SE1&amp;%20SE2-L1N40.JPG?dl=0" TargetMode="External"/><Relationship Id="rId130" Type="http://schemas.openxmlformats.org/officeDocument/2006/relationships/hyperlink" Target="https://www.dropbox.com/s/nkl48m9he089my8/SE1%20&amp;%20SE2-%20L0N60.JPG?dl=0" TargetMode="External"/><Relationship Id="rId135" Type="http://schemas.openxmlformats.org/officeDocument/2006/relationships/hyperlink" Target="https://www.dropbox.com/s/efic0aqf7gl824t/SE1%20&amp;%20SE2%20-L1.JPG?dl=0" TargetMode="External"/><Relationship Id="rId151" Type="http://schemas.openxmlformats.org/officeDocument/2006/relationships/hyperlink" Target="https://www.dropbox.com/s/tuo63emgdiflcge/SE1PK50L2.JPG?dl=0" TargetMode="External"/><Relationship Id="rId13" Type="http://schemas.openxmlformats.org/officeDocument/2006/relationships/hyperlink" Target="https://www.dropbox.com/s/sytbeg14ncec4bt/SE1_DOUMBIADOUGOU.jpg?dl=0" TargetMode="External"/><Relationship Id="rId18" Type="http://schemas.openxmlformats.org/officeDocument/2006/relationships/hyperlink" Target="https://www.dropbox.com/s/ei1u5y7rwfan3xa/se1pk50.JPG?dl=0" TargetMode="External"/><Relationship Id="rId39" Type="http://schemas.openxmlformats.org/officeDocument/2006/relationships/hyperlink" Target="https://www.dropbox.com/s/0sv59iarshd0o1c/SE1_GEFACO_Gode.jpg?dl=0" TargetMode="External"/><Relationship Id="rId109" Type="http://schemas.openxmlformats.org/officeDocument/2006/relationships/hyperlink" Target="https://www.dropbox.com/s/e55jx7ybyyfc4go/SE1-L2N300.JPG?dl=0" TargetMode="External"/><Relationship Id="rId34" Type="http://schemas.openxmlformats.org/officeDocument/2006/relationships/hyperlink" Target="https://www.dropbox.com/s/liyv0pu60ewagjg/SE_OIM_Prollo.jpg?dl=0" TargetMode="External"/><Relationship Id="rId50" Type="http://schemas.openxmlformats.org/officeDocument/2006/relationships/hyperlink" Target="https://www.dropbox.com/s/ead2f3fw7ble4jk/SE1PK10L2.JPG?dl=0" TargetMode="External"/><Relationship Id="rId55" Type="http://schemas.openxmlformats.org/officeDocument/2006/relationships/hyperlink" Target="https://www.dropbox.com/s/l9m8msl2zpnk54p/se1pk60l1.JPG?dl=0" TargetMode="External"/><Relationship Id="rId76" Type="http://schemas.openxmlformats.org/officeDocument/2006/relationships/hyperlink" Target="https://www.dropbox.com/s/oar3ea6b0cottxx/SE1PK120L2.JPG?dl=0" TargetMode="External"/><Relationship Id="rId97" Type="http://schemas.openxmlformats.org/officeDocument/2006/relationships/hyperlink" Target="https://www.dropbox.com/s/ngd8ho5984a0nkm/SE1%20&amp;%20SE2-LN150.JPG?dl=0" TargetMode="External"/><Relationship Id="rId104" Type="http://schemas.openxmlformats.org/officeDocument/2006/relationships/hyperlink" Target="https://www.dropbox.com/s/hdpdnmzh6dn3r8q/SE1-L3N275.JPG?dl=0" TargetMode="External"/><Relationship Id="rId120" Type="http://schemas.openxmlformats.org/officeDocument/2006/relationships/hyperlink" Target="https://www.dropbox.com/s/gf713qpv50yhvpb/se2%20&amp;%20SE3-L2.JPG?dl=0" TargetMode="External"/><Relationship Id="rId125" Type="http://schemas.openxmlformats.org/officeDocument/2006/relationships/hyperlink" Target="https://www.dropbox.com/s/xstdt0kl1uavsty/SE1%20&amp;%20SE-L2.JPG?dl=0" TargetMode="External"/><Relationship Id="rId141" Type="http://schemas.openxmlformats.org/officeDocument/2006/relationships/hyperlink" Target="https://www.dropbox.com/s/q9g16s58a402jsi/SE1%20&amp;%20SE2-L0.JPG?dl=0" TargetMode="External"/><Relationship Id="rId146" Type="http://schemas.openxmlformats.org/officeDocument/2006/relationships/hyperlink" Target="https://www.dropbox.com/s/nerpy86bxs73izt/SE2&amp;%20SE3-L0.JPG?dl=0" TargetMode="External"/><Relationship Id="rId7" Type="http://schemas.openxmlformats.org/officeDocument/2006/relationships/hyperlink" Target="https://www.dropbox.com/s/08ymajbzquzzrik/se1pk60L1.JPG?dl=0" TargetMode="External"/><Relationship Id="rId71" Type="http://schemas.openxmlformats.org/officeDocument/2006/relationships/hyperlink" Target="https://www.dropbox.com/s/ottkpgb27ztlgel/SE1pk260l1_40.3.JPG?dl=0" TargetMode="External"/><Relationship Id="rId92" Type="http://schemas.openxmlformats.org/officeDocument/2006/relationships/hyperlink" Target="https://www.dropbox.com/s/yuorrtnt5f2v1q6/SE1-L1N105.JPG?dl=0" TargetMode="External"/><Relationship Id="rId2" Type="http://schemas.openxmlformats.org/officeDocument/2006/relationships/hyperlink" Target="https://www.dropbox.com/s/behzvyfcoe7cd8m/se1pk50.JPG?dl=0" TargetMode="External"/><Relationship Id="rId29" Type="http://schemas.openxmlformats.org/officeDocument/2006/relationships/hyperlink" Target="https://www.dropbox.com/s/0ih97stbwyosg71/SE1_mafere.jpg?dl=0" TargetMode="External"/><Relationship Id="rId24" Type="http://schemas.openxmlformats.org/officeDocument/2006/relationships/hyperlink" Target="https://www.dropbox.com/s/jmpgdms5tjhqt34/SE1L2_Tissie.jpg?dl=0" TargetMode="External"/><Relationship Id="rId40" Type="http://schemas.openxmlformats.org/officeDocument/2006/relationships/hyperlink" Target="https://www.dropbox.com/s/n0h74ucn7be7yfe/SE2L2PK60.JPG?dl=0" TargetMode="External"/><Relationship Id="rId45" Type="http://schemas.openxmlformats.org/officeDocument/2006/relationships/hyperlink" Target="https://www.dropbox.com/s/3bko14ln0qelpb9/SE1PKK90L1.JPG?dl=0" TargetMode="External"/><Relationship Id="rId66" Type="http://schemas.openxmlformats.org/officeDocument/2006/relationships/hyperlink" Target="https://www.dropbox.com/s/jq0j275ii8t6w1m/SE3L2pk130Foro%201.JPG?dl=0" TargetMode="External"/><Relationship Id="rId87" Type="http://schemas.openxmlformats.org/officeDocument/2006/relationships/hyperlink" Target="https://www.dropbox.com/s/fr9gq9mj0g39zfc/SE1&amp;SE4_L4-N80.JPG?dl=0" TargetMode="External"/><Relationship Id="rId110" Type="http://schemas.openxmlformats.org/officeDocument/2006/relationships/hyperlink" Target="https://www.dropbox.com/s/zdhkj3i7343j7cq/SE1&amp;SE2-L3N260.JPG?dl=0" TargetMode="External"/><Relationship Id="rId115" Type="http://schemas.openxmlformats.org/officeDocument/2006/relationships/hyperlink" Target="https://www.dropbox.com/s/ezhpizqvclr8yyt/SE1%20&amp;%20SE3-L1N225.JPG?dl=0" TargetMode="External"/><Relationship Id="rId131" Type="http://schemas.openxmlformats.org/officeDocument/2006/relationships/hyperlink" Target="https://www.dropbox.com/s/wn0uuze0z1et8j3/SE1-L2.JPG?dl=0" TargetMode="External"/><Relationship Id="rId136" Type="http://schemas.openxmlformats.org/officeDocument/2006/relationships/hyperlink" Target="https://www.dropbox.com/s/z9r7dh1rdceruoe/SE1-L1.JPG?dl=0" TargetMode="External"/><Relationship Id="rId61" Type="http://schemas.openxmlformats.org/officeDocument/2006/relationships/hyperlink" Target="https://www.dropbox.com/s/ga6j5xfegjth4j5/se3pk140.JPG?dl=0" TargetMode="External"/><Relationship Id="rId82" Type="http://schemas.openxmlformats.org/officeDocument/2006/relationships/hyperlink" Target="https://www.dropbox.com/s/47xavs6bfseiif9/SE1-L3%20N350.JPG?dl=0" TargetMode="External"/><Relationship Id="rId152" Type="http://schemas.openxmlformats.org/officeDocument/2006/relationships/hyperlink" Target="https://www.dropbox.com/s/uug3135b8ebldil/SE1-L2N260.JPG?dl=0" TargetMode="External"/><Relationship Id="rId19" Type="http://schemas.openxmlformats.org/officeDocument/2006/relationships/hyperlink" Target="https://www.dropbox.com/s/jhy9rrp9c00gvln/SE2V.JPG?dl=0" TargetMode="External"/><Relationship Id="rId14" Type="http://schemas.openxmlformats.org/officeDocument/2006/relationships/hyperlink" Target="https://www.dropbox.com/s/hbkzmem70hk5ii5/SE1_TROUKASSO.jpg?dl=0" TargetMode="External"/><Relationship Id="rId30" Type="http://schemas.openxmlformats.org/officeDocument/2006/relationships/hyperlink" Target="https://www.dropbox.com/s/thv1a79myqvakfm/SE2_OIM_Diorozon.jpg?dl=0" TargetMode="External"/><Relationship Id="rId35" Type="http://schemas.openxmlformats.org/officeDocument/2006/relationships/hyperlink" Target="https://www.dropbox.com/s/nnvcnbh99zio7cg/SE2_OIM_Pata%20Ide.jpg?dl=0" TargetMode="External"/><Relationship Id="rId56" Type="http://schemas.openxmlformats.org/officeDocument/2006/relationships/hyperlink" Target="https://www.dropbox.com/s/9qrmva82sfqicpt/SE1PK00L1.JPG?dl=0" TargetMode="External"/><Relationship Id="rId77" Type="http://schemas.openxmlformats.org/officeDocument/2006/relationships/hyperlink" Target="https://www.dropbox.com/s/wpy3b6ewifdvxe0/SE2pk140l3.JPG?dl=0" TargetMode="External"/><Relationship Id="rId100" Type="http://schemas.openxmlformats.org/officeDocument/2006/relationships/hyperlink" Target="https://www.dropbox.com/s/p4hxqg0dkdphh4m/SE1%20&amp;%20SE2-L2_N235.JPG?dl=0" TargetMode="External"/><Relationship Id="rId105" Type="http://schemas.openxmlformats.org/officeDocument/2006/relationships/hyperlink" Target="https://www.dropbox.com/s/tl3txcj063b2ygg/SE3%20&amp;%20SE1-L1N330.JPG?dl=0" TargetMode="External"/><Relationship Id="rId126" Type="http://schemas.openxmlformats.org/officeDocument/2006/relationships/hyperlink" Target="https://www.dropbox.com/s/iod00y57ic3gj6a/SE1-SE2%20&amp;%20SE3-L2.JPG?dl=0" TargetMode="External"/><Relationship Id="rId147" Type="http://schemas.openxmlformats.org/officeDocument/2006/relationships/hyperlink" Target="https://www.dropbox.com/s/cddv7xdqk8ub8m0/SE1%20&amp;%20SE3%20-L1.JPG?dl=0" TargetMode="External"/><Relationship Id="rId8" Type="http://schemas.openxmlformats.org/officeDocument/2006/relationships/hyperlink" Target="https://www.dropbox.com/s/2b0jm0ab8lj0jga/Se3l2_WOROGIRI.png?dl=0" TargetMode="External"/><Relationship Id="rId51" Type="http://schemas.openxmlformats.org/officeDocument/2006/relationships/hyperlink" Target="https://www.dropbox.com/s/uzyoysfkh7aukfm/SE1PK20L2.JPG?dl=0" TargetMode="External"/><Relationship Id="rId72" Type="http://schemas.openxmlformats.org/officeDocument/2006/relationships/hyperlink" Target="https://www.dropbox.com/s/wdn9kxai801rfl9/SE1pk120l3.bmp?dl=0" TargetMode="External"/><Relationship Id="rId93" Type="http://schemas.openxmlformats.org/officeDocument/2006/relationships/hyperlink" Target="https://www.dropbox.com/s/p7cqg6icoco1kti/SE1-L3N250.JPG?dl=0" TargetMode="External"/><Relationship Id="rId98" Type="http://schemas.openxmlformats.org/officeDocument/2006/relationships/hyperlink" Target="https://www.dropbox.com/s/81qhx688iyqbjpu/SE1-L1_N160.JPG?dl=0" TargetMode="External"/><Relationship Id="rId121" Type="http://schemas.openxmlformats.org/officeDocument/2006/relationships/hyperlink" Target="https://www.dropbox.com/s/i33zzvc0ybwdqjv/SE1-L1.JPG?dl=0" TargetMode="External"/><Relationship Id="rId142" Type="http://schemas.openxmlformats.org/officeDocument/2006/relationships/hyperlink" Target="https://www.dropbox.com/s/nratblwqk32r95i/SE3-L1.JPG?dl=0" TargetMode="External"/><Relationship Id="rId3" Type="http://schemas.openxmlformats.org/officeDocument/2006/relationships/hyperlink" Target="https://www.dropbox.com/s/4vzw3dw3rl6an1r/se1pk120.JPG?dl=0" TargetMode="External"/><Relationship Id="rId25" Type="http://schemas.openxmlformats.org/officeDocument/2006/relationships/hyperlink" Target="https://www.dropbox.com/s/u4m3nt9nh3zd708/SE1L0_Tissie.jpg?dl=0" TargetMode="External"/><Relationship Id="rId46" Type="http://schemas.openxmlformats.org/officeDocument/2006/relationships/hyperlink" Target="https://www.dropbox.com/s/ob7wciab05relex/SE1PK100L2.JPG?dl=0" TargetMode="External"/><Relationship Id="rId67" Type="http://schemas.openxmlformats.org/officeDocument/2006/relationships/hyperlink" Target="https://www.dropbox.com/s/fpb1hbkyfwmeaj6/SE1PK10L2Foro2.JPG?dl=0" TargetMode="External"/><Relationship Id="rId116" Type="http://schemas.openxmlformats.org/officeDocument/2006/relationships/hyperlink" Target="https://www.dropbox.com/s/wftceo2z2gt204q/SE1%20&amp;%20%20SE2-L0.JPG?dl=0" TargetMode="External"/><Relationship Id="rId137" Type="http://schemas.openxmlformats.org/officeDocument/2006/relationships/hyperlink" Target="https://www.dropbox.com/s/p253rifovsz8uin/SE_L1.JPG?dl=0" TargetMode="External"/><Relationship Id="rId20" Type="http://schemas.openxmlformats.org/officeDocument/2006/relationships/hyperlink" Target="https://www.dropbox.com/s/e6jstvfmb4sc69g/se2pk150l0.JPG?dl=0" TargetMode="External"/><Relationship Id="rId41" Type="http://schemas.openxmlformats.org/officeDocument/2006/relationships/hyperlink" Target="https://www.dropbox.com/s/fswqu7e91oweo1i/se1pk20l1.JPG?dl=0" TargetMode="External"/><Relationship Id="rId62" Type="http://schemas.openxmlformats.org/officeDocument/2006/relationships/hyperlink" Target="https://www.dropbox.com/s/i1hbhh7prmxinkz/se4pk180.JPG?dl=0" TargetMode="External"/><Relationship Id="rId83" Type="http://schemas.openxmlformats.org/officeDocument/2006/relationships/hyperlink" Target="https://www.dropbox.com/s/zupl99grl340pdq/SE1-N235.JPG?dl=0" TargetMode="External"/><Relationship Id="rId88" Type="http://schemas.openxmlformats.org/officeDocument/2006/relationships/hyperlink" Target="https://www.dropbox.com/s/jjdvflz2hhd6w2k/SE2-L2N30.JPG?dl=0" TargetMode="External"/><Relationship Id="rId111" Type="http://schemas.openxmlformats.org/officeDocument/2006/relationships/hyperlink" Target="https://www.dropbox.com/s/uj3yd418pk0okf9/SE1-L3N280.JPG?dl=0" TargetMode="External"/><Relationship Id="rId132" Type="http://schemas.openxmlformats.org/officeDocument/2006/relationships/hyperlink" Target="https://www.dropbox.com/s/w4fs033fthmsmiw/SE1-L1.JPG?dl=0" TargetMode="External"/><Relationship Id="rId153" Type="http://schemas.openxmlformats.org/officeDocument/2006/relationships/hyperlink" Target="https://www.dropbox.com/s/w267ogb85yfmt03/se1pk190.JPG?dl=0" TargetMode="External"/><Relationship Id="rId15" Type="http://schemas.openxmlformats.org/officeDocument/2006/relationships/hyperlink" Target="https://www.dropbox.com/s/azbigp12igy312n/SE1_KONGODJAN.jpg?dl=0" TargetMode="External"/><Relationship Id="rId36" Type="http://schemas.openxmlformats.org/officeDocument/2006/relationships/hyperlink" Target="https://www.dropbox.com/s/gvnurfmddkrfbzp/SE1_Foratec_Borotoukoro%201.jpg?dl=0" TargetMode="External"/><Relationship Id="rId57" Type="http://schemas.openxmlformats.org/officeDocument/2006/relationships/hyperlink" Target="https://www.dropbox.com/s/dl7ol4yfd5byy73/se1pk10l2.JPG?dl=0" TargetMode="External"/><Relationship Id="rId106" Type="http://schemas.openxmlformats.org/officeDocument/2006/relationships/hyperlink" Target="https://www.dropbox.com/s/xhywl8qbvmabf1x/SE1-L3N45.JPG?dl=0" TargetMode="External"/><Relationship Id="rId127" Type="http://schemas.openxmlformats.org/officeDocument/2006/relationships/hyperlink" Target="https://www.dropbox.com/s/srs0bw0y7hjfm1f/SE1%20&amp;%20SE2-L0.JPG?dl=0" TargetMode="External"/><Relationship Id="rId10" Type="http://schemas.openxmlformats.org/officeDocument/2006/relationships/hyperlink" Target="https://www.dropbox.com/s/39gwhq6o8zwnplk/se1l2_GOREYAPLOHI.png?dl=0" TargetMode="External"/><Relationship Id="rId31" Type="http://schemas.openxmlformats.org/officeDocument/2006/relationships/hyperlink" Target="https://www.dropbox.com/s/y8ayg0o6p85u01o/SE2_OIM_Ohidougou.jpg?dl=0" TargetMode="External"/><Relationship Id="rId52" Type="http://schemas.openxmlformats.org/officeDocument/2006/relationships/hyperlink" Target="https://www.dropbox.com/s/nsks1le7a6qgokf/SE1PK20L3.JPG?dl=0" TargetMode="External"/><Relationship Id="rId73" Type="http://schemas.openxmlformats.org/officeDocument/2006/relationships/hyperlink" Target="https://www.dropbox.com/s/yjpfyvcgfd7dbc6/SE''1pk40l2_Tepo%203.JPG?dl=0" TargetMode="External"/><Relationship Id="rId78" Type="http://schemas.openxmlformats.org/officeDocument/2006/relationships/hyperlink" Target="https://www.dropbox.com/s/8aybuj64ct1tw1s/SE1pk40L1.JPG?dl=0" TargetMode="External"/><Relationship Id="rId94" Type="http://schemas.openxmlformats.org/officeDocument/2006/relationships/hyperlink" Target="https://www.dropbox.com/s/l8qswgl8s4mnizn/SE3%20&amp;%20SE1.JPG?dl=0" TargetMode="External"/><Relationship Id="rId99" Type="http://schemas.openxmlformats.org/officeDocument/2006/relationships/hyperlink" Target="https://www.dropbox.com/s/y5sdgg499vjivs4/SE1%20&amp;%20SE2%20-L2%20N280.JPG?dl=0" TargetMode="External"/><Relationship Id="rId101" Type="http://schemas.openxmlformats.org/officeDocument/2006/relationships/hyperlink" Target="https://www.dropbox.com/s/nb3vrlgdkhnm1hq/SE1%20&amp;%20SE2-L2N250.JPG?dl=0" TargetMode="External"/><Relationship Id="rId122" Type="http://schemas.openxmlformats.org/officeDocument/2006/relationships/hyperlink" Target="https://www.dropbox.com/s/1gcxi7gu0gasiyf/SE1%20&amp;%20SE2%20-L1.JPG?dl=0" TargetMode="External"/><Relationship Id="rId143" Type="http://schemas.openxmlformats.org/officeDocument/2006/relationships/hyperlink" Target="https://www.dropbox.com/s/154olra6tw9bgf7/SE2%20&amp;%20SE3-L0.JPG?dl=0" TargetMode="External"/><Relationship Id="rId148" Type="http://schemas.openxmlformats.org/officeDocument/2006/relationships/hyperlink" Target="https://www.dropbox.com/s/ol7p8ho60074rxt/SE1-SE2%20&amp;%20SE3-L0.JPG?dl=0" TargetMode="External"/><Relationship Id="rId4" Type="http://schemas.openxmlformats.org/officeDocument/2006/relationships/hyperlink" Target="https://www.dropbox.com/s/0tgles4dhzemroq/se1L2pk40.JPG?dl=0" TargetMode="External"/><Relationship Id="rId9" Type="http://schemas.openxmlformats.org/officeDocument/2006/relationships/hyperlink" Target="https://www.dropbox.com/s/8x173a57rtdiu4t/SE2L2_YAKRO.jpg?dl=0" TargetMode="External"/><Relationship Id="rId26" Type="http://schemas.openxmlformats.org/officeDocument/2006/relationships/hyperlink" Target="https://www.dropbox.com/s/oz0wn7w9vfvff1f/SE_Attingu%C3%A9.jpg?dl=0" TargetMode="External"/><Relationship Id="rId47" Type="http://schemas.openxmlformats.org/officeDocument/2006/relationships/hyperlink" Target="https://www.dropbox.com/s/pb2wwlob2clugwl/se1p120l1.JPG?dl=0" TargetMode="External"/><Relationship Id="rId68" Type="http://schemas.openxmlformats.org/officeDocument/2006/relationships/hyperlink" Target="https://www.dropbox.com/s/trwlzv1vdeg24gs/SE1pk90l3.JPG?dl=0" TargetMode="External"/><Relationship Id="rId89" Type="http://schemas.openxmlformats.org/officeDocument/2006/relationships/hyperlink" Target="https://www.dropbox.com/s/qifgrlwlbly47f6/SE3-L2N170.JPG?dl=0" TargetMode="External"/><Relationship Id="rId112" Type="http://schemas.openxmlformats.org/officeDocument/2006/relationships/hyperlink" Target="https://www.dropbox.com/s/c1d4hxy62oo8ydk/SE1-L2N280.JPG?dl=0" TargetMode="External"/><Relationship Id="rId133" Type="http://schemas.openxmlformats.org/officeDocument/2006/relationships/hyperlink" Target="https://www.dropbox.com/s/868q7q44t78vndh/SE1%20&amp;%20SE3%20-L2N60.JPG?dl=0" TargetMode="External"/><Relationship Id="rId154" Type="http://schemas.openxmlformats.org/officeDocument/2006/relationships/hyperlink" Target="https://www.dropbox.com/s/k974xt4x6pk1ta5/SE1PK130.JPG?dl=0" TargetMode="External"/><Relationship Id="rId16" Type="http://schemas.openxmlformats.org/officeDocument/2006/relationships/hyperlink" Target="https://www.dropbox.com/s/4h6cdvm8jqsn414/SE1_KOFFIKANKRO.jpg?dl=0" TargetMode="External"/><Relationship Id="rId37" Type="http://schemas.openxmlformats.org/officeDocument/2006/relationships/hyperlink" Target="https://www.dropbox.com/s/afsbku63p59tik4/SE1_Foratec-Borotoukoro%201%20kangana.jpg?dl=0" TargetMode="External"/><Relationship Id="rId58" Type="http://schemas.openxmlformats.org/officeDocument/2006/relationships/hyperlink" Target="https://www.dropbox.com/s/2koy8ipup05gt74/se1pk100l3.JPG?dl=0" TargetMode="External"/><Relationship Id="rId79" Type="http://schemas.openxmlformats.org/officeDocument/2006/relationships/hyperlink" Target="https://www.dropbox.com/s/iijy1zyh85apr8p/SE2pk30l2.JPG?dl=0" TargetMode="External"/><Relationship Id="rId102" Type="http://schemas.openxmlformats.org/officeDocument/2006/relationships/hyperlink" Target="https://www.dropbox.com/s/gwlfdvz1ssu6o5k/SE1-L2N220.JPG?dl=0" TargetMode="External"/><Relationship Id="rId123" Type="http://schemas.openxmlformats.org/officeDocument/2006/relationships/hyperlink" Target="https://www.dropbox.com/s/65zmwazcysxn15x/SE1-SE2%20&amp;%20SE3-L0.JPG?dl=0" TargetMode="External"/><Relationship Id="rId144" Type="http://schemas.openxmlformats.org/officeDocument/2006/relationships/hyperlink" Target="https://www.dropbox.com/s/4yzqxu7s3kr2gnu/SE1_L1N186.JPG?dl=0" TargetMode="External"/><Relationship Id="rId90" Type="http://schemas.openxmlformats.org/officeDocument/2006/relationships/hyperlink" Target="https://www.dropbox.com/s/om15b4hy8rqevau/SE1%20&amp;%20SE2_Foro2-L2N115.JPG?dl=0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171452</xdr:colOff>
      <xdr:row>0</xdr:row>
      <xdr:rowOff>41868</xdr:rowOff>
    </xdr:from>
    <xdr:to>
      <xdr:col>22</xdr:col>
      <xdr:colOff>314011</xdr:colOff>
      <xdr:row>147</xdr:row>
      <xdr:rowOff>167473</xdr:rowOff>
    </xdr:to>
    <xdr:sp macro="[0]!Top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14529" y="41868"/>
          <a:ext cx="142559" cy="29988050"/>
        </a:xfrm>
        <a:prstGeom prst="roundRect">
          <a:avLst/>
        </a:prstGeom>
        <a:solidFill>
          <a:srgbClr val="FF33CC"/>
        </a:solidFill>
        <a:ln>
          <a:solidFill>
            <a:srgbClr val="FF33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Top</a:t>
          </a:r>
        </a:p>
      </xdr:txBody>
    </xdr:sp>
    <xdr:clientData/>
  </xdr:twoCellAnchor>
  <xdr:twoCellAnchor>
    <xdr:from>
      <xdr:col>49</xdr:col>
      <xdr:colOff>104775</xdr:colOff>
      <xdr:row>2</xdr:row>
      <xdr:rowOff>66659</xdr:rowOff>
    </xdr:from>
    <xdr:to>
      <xdr:col>52</xdr:col>
      <xdr:colOff>605436</xdr:colOff>
      <xdr:row>3</xdr:row>
      <xdr:rowOff>129903</xdr:rowOff>
    </xdr:to>
    <xdr:sp macro="[0]!AfficherFormulaire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0021550" y="561959"/>
          <a:ext cx="2700936" cy="27279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Advanced search</a:t>
          </a:r>
        </a:p>
      </xdr:txBody>
    </xdr:sp>
    <xdr:clientData/>
  </xdr:twoCellAnchor>
  <xdr:twoCellAnchor>
    <xdr:from>
      <xdr:col>14</xdr:col>
      <xdr:colOff>0</xdr:colOff>
      <xdr:row>52</xdr:row>
      <xdr:rowOff>0</xdr:rowOff>
    </xdr:from>
    <xdr:to>
      <xdr:col>14</xdr:col>
      <xdr:colOff>304800</xdr:colOff>
      <xdr:row>52</xdr:row>
      <xdr:rowOff>127000</xdr:rowOff>
    </xdr:to>
    <xdr:sp macro="[1]!CalloutLine1_Click" textlink="">
      <xdr:nvSpPr>
        <xdr:cNvPr id="336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>
          <a:spLocks/>
        </xdr:cNvSpPr>
      </xdr:nvSpPr>
      <xdr:spPr bwMode="auto">
        <a:xfrm>
          <a:off x="12553950" y="10344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</xdr:row>
      <xdr:rowOff>25400</xdr:rowOff>
    </xdr:from>
    <xdr:to>
      <xdr:col>14</xdr:col>
      <xdr:colOff>304800</xdr:colOff>
      <xdr:row>1</xdr:row>
      <xdr:rowOff>152400</xdr:rowOff>
    </xdr:to>
    <xdr:sp macro="[1]!CalloutLine1_Click" textlink="">
      <xdr:nvSpPr>
        <xdr:cNvPr id="337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>
          <a:spLocks/>
        </xdr:cNvSpPr>
      </xdr:nvSpPr>
      <xdr:spPr bwMode="auto">
        <a:xfrm>
          <a:off x="12553950" y="568325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0</xdr:colOff>
      <xdr:row>2</xdr:row>
      <xdr:rowOff>63500</xdr:rowOff>
    </xdr:from>
    <xdr:to>
      <xdr:col>14</xdr:col>
      <xdr:colOff>304800</xdr:colOff>
      <xdr:row>3</xdr:row>
      <xdr:rowOff>0</xdr:rowOff>
    </xdr:to>
    <xdr:sp macro="[1]!CalloutLine1_Click" textlink="">
      <xdr:nvSpPr>
        <xdr:cNvPr id="338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>
          <a:spLocks/>
        </xdr:cNvSpPr>
      </xdr:nvSpPr>
      <xdr:spPr bwMode="auto">
        <a:xfrm>
          <a:off x="12553950" y="7969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12700</xdr:colOff>
      <xdr:row>3</xdr:row>
      <xdr:rowOff>25400</xdr:rowOff>
    </xdr:from>
    <xdr:to>
      <xdr:col>14</xdr:col>
      <xdr:colOff>317500</xdr:colOff>
      <xdr:row>3</xdr:row>
      <xdr:rowOff>152400</xdr:rowOff>
    </xdr:to>
    <xdr:sp macro="[1]!CalloutLine1_Click" textlink="">
      <xdr:nvSpPr>
        <xdr:cNvPr id="339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>
          <a:spLocks/>
        </xdr:cNvSpPr>
      </xdr:nvSpPr>
      <xdr:spPr bwMode="auto">
        <a:xfrm>
          <a:off x="12566650" y="9493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12700</xdr:colOff>
      <xdr:row>4</xdr:row>
      <xdr:rowOff>25400</xdr:rowOff>
    </xdr:from>
    <xdr:to>
      <xdr:col>14</xdr:col>
      <xdr:colOff>317500</xdr:colOff>
      <xdr:row>4</xdr:row>
      <xdr:rowOff>152400</xdr:rowOff>
    </xdr:to>
    <xdr:sp macro="[1]!CalloutLine1_Click" textlink="">
      <xdr:nvSpPr>
        <xdr:cNvPr id="340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>
          <a:spLocks/>
        </xdr:cNvSpPr>
      </xdr:nvSpPr>
      <xdr:spPr bwMode="auto">
        <a:xfrm>
          <a:off x="12566650" y="11398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393700</xdr:colOff>
      <xdr:row>5</xdr:row>
      <xdr:rowOff>38100</xdr:rowOff>
    </xdr:from>
    <xdr:to>
      <xdr:col>14</xdr:col>
      <xdr:colOff>647700</xdr:colOff>
      <xdr:row>5</xdr:row>
      <xdr:rowOff>152400</xdr:rowOff>
    </xdr:to>
    <xdr:sp macro="[1]!CalloutLine1_Click" textlink="">
      <xdr:nvSpPr>
        <xdr:cNvPr id="341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>
          <a:spLocks/>
        </xdr:cNvSpPr>
      </xdr:nvSpPr>
      <xdr:spPr bwMode="auto">
        <a:xfrm>
          <a:off x="12947650" y="1343025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12700</xdr:colOff>
      <xdr:row>6</xdr:row>
      <xdr:rowOff>38100</xdr:rowOff>
    </xdr:from>
    <xdr:to>
      <xdr:col>14</xdr:col>
      <xdr:colOff>317500</xdr:colOff>
      <xdr:row>6</xdr:row>
      <xdr:rowOff>165100</xdr:rowOff>
    </xdr:to>
    <xdr:sp macro="[1]!CalloutLine1_Click" textlink="">
      <xdr:nvSpPr>
        <xdr:cNvPr id="342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>
          <a:spLocks/>
        </xdr:cNvSpPr>
      </xdr:nvSpPr>
      <xdr:spPr bwMode="auto">
        <a:xfrm>
          <a:off x="12566650" y="15335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12700</xdr:colOff>
      <xdr:row>7</xdr:row>
      <xdr:rowOff>25400</xdr:rowOff>
    </xdr:from>
    <xdr:to>
      <xdr:col>14</xdr:col>
      <xdr:colOff>317500</xdr:colOff>
      <xdr:row>7</xdr:row>
      <xdr:rowOff>152400</xdr:rowOff>
    </xdr:to>
    <xdr:sp macro="[1]!CalloutLine1_Click" textlink="">
      <xdr:nvSpPr>
        <xdr:cNvPr id="343" name="Callout: Lin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>
          <a:spLocks/>
        </xdr:cNvSpPr>
      </xdr:nvSpPr>
      <xdr:spPr bwMode="auto">
        <a:xfrm>
          <a:off x="12566650" y="176847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0</xdr:colOff>
      <xdr:row>8</xdr:row>
      <xdr:rowOff>25400</xdr:rowOff>
    </xdr:from>
    <xdr:to>
      <xdr:col>14</xdr:col>
      <xdr:colOff>304800</xdr:colOff>
      <xdr:row>8</xdr:row>
      <xdr:rowOff>152400</xdr:rowOff>
    </xdr:to>
    <xdr:sp macro="[1]!CalloutLine1_Click" textlink="">
      <xdr:nvSpPr>
        <xdr:cNvPr id="344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>
          <a:spLocks/>
        </xdr:cNvSpPr>
      </xdr:nvSpPr>
      <xdr:spPr bwMode="auto">
        <a:xfrm>
          <a:off x="12553950" y="195897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0</xdr:colOff>
      <xdr:row>9</xdr:row>
      <xdr:rowOff>12700</xdr:rowOff>
    </xdr:from>
    <xdr:to>
      <xdr:col>14</xdr:col>
      <xdr:colOff>304800</xdr:colOff>
      <xdr:row>9</xdr:row>
      <xdr:rowOff>139700</xdr:rowOff>
    </xdr:to>
    <xdr:sp macro="[1]!CalloutLine1_Click" textlink="">
      <xdr:nvSpPr>
        <xdr:cNvPr id="345" name="Callout: Line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>
          <a:spLocks/>
        </xdr:cNvSpPr>
      </xdr:nvSpPr>
      <xdr:spPr bwMode="auto">
        <a:xfrm>
          <a:off x="12553950" y="213677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14</xdr:col>
      <xdr:colOff>0</xdr:colOff>
      <xdr:row>10</xdr:row>
      <xdr:rowOff>0</xdr:rowOff>
    </xdr:from>
    <xdr:to>
      <xdr:col>14</xdr:col>
      <xdr:colOff>304800</xdr:colOff>
      <xdr:row>10</xdr:row>
      <xdr:rowOff>127000</xdr:rowOff>
    </xdr:to>
    <xdr:sp macro="[1]!CalloutLine1_Click" textlink="">
      <xdr:nvSpPr>
        <xdr:cNvPr id="346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>
          <a:spLocks/>
        </xdr:cNvSpPr>
      </xdr:nvSpPr>
      <xdr:spPr bwMode="auto">
        <a:xfrm>
          <a:off x="12553950" y="2343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11</xdr:row>
      <xdr:rowOff>0</xdr:rowOff>
    </xdr:from>
    <xdr:to>
      <xdr:col>14</xdr:col>
      <xdr:colOff>304800</xdr:colOff>
      <xdr:row>11</xdr:row>
      <xdr:rowOff>127000</xdr:rowOff>
    </xdr:to>
    <xdr:sp macro="[1]!CalloutLine1_Click" textlink="">
      <xdr:nvSpPr>
        <xdr:cNvPr id="347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>
          <a:spLocks/>
        </xdr:cNvSpPr>
      </xdr:nvSpPr>
      <xdr:spPr bwMode="auto">
        <a:xfrm>
          <a:off x="12553950" y="2533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12</xdr:row>
      <xdr:rowOff>0</xdr:rowOff>
    </xdr:from>
    <xdr:to>
      <xdr:col>14</xdr:col>
      <xdr:colOff>304800</xdr:colOff>
      <xdr:row>12</xdr:row>
      <xdr:rowOff>127000</xdr:rowOff>
    </xdr:to>
    <xdr:sp macro="[1]!CalloutLine1_Click" textlink="">
      <xdr:nvSpPr>
        <xdr:cNvPr id="348" name="Callout: Line 16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>
          <a:spLocks/>
        </xdr:cNvSpPr>
      </xdr:nvSpPr>
      <xdr:spPr bwMode="auto">
        <a:xfrm>
          <a:off x="12553950" y="2724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14</xdr:col>
      <xdr:colOff>304800</xdr:colOff>
      <xdr:row>13</xdr:row>
      <xdr:rowOff>127000</xdr:rowOff>
    </xdr:to>
    <xdr:sp macro="[1]!CalloutLine1_Click" textlink="">
      <xdr:nvSpPr>
        <xdr:cNvPr id="349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>
          <a:spLocks/>
        </xdr:cNvSpPr>
      </xdr:nvSpPr>
      <xdr:spPr bwMode="auto">
        <a:xfrm>
          <a:off x="12553950" y="2914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14</xdr:col>
      <xdr:colOff>304800</xdr:colOff>
      <xdr:row>14</xdr:row>
      <xdr:rowOff>127000</xdr:rowOff>
    </xdr:to>
    <xdr:sp macro="[1]!CalloutLine1_Click" textlink="">
      <xdr:nvSpPr>
        <xdr:cNvPr id="350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>
          <a:spLocks/>
        </xdr:cNvSpPr>
      </xdr:nvSpPr>
      <xdr:spPr bwMode="auto">
        <a:xfrm>
          <a:off x="12553950" y="3105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14</xdr:col>
      <xdr:colOff>304800</xdr:colOff>
      <xdr:row>15</xdr:row>
      <xdr:rowOff>127000</xdr:rowOff>
    </xdr:to>
    <xdr:sp macro="[1]!CalloutLine1_Click" textlink="">
      <xdr:nvSpPr>
        <xdr:cNvPr id="351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>
          <a:spLocks/>
        </xdr:cNvSpPr>
      </xdr:nvSpPr>
      <xdr:spPr bwMode="auto">
        <a:xfrm>
          <a:off x="12553950" y="3295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16</xdr:row>
      <xdr:rowOff>0</xdr:rowOff>
    </xdr:from>
    <xdr:to>
      <xdr:col>14</xdr:col>
      <xdr:colOff>304800</xdr:colOff>
      <xdr:row>16</xdr:row>
      <xdr:rowOff>127000</xdr:rowOff>
    </xdr:to>
    <xdr:sp macro="[1]!CalloutLine1_Click" textlink="">
      <xdr:nvSpPr>
        <xdr:cNvPr id="352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>
          <a:spLocks/>
        </xdr:cNvSpPr>
      </xdr:nvSpPr>
      <xdr:spPr bwMode="auto">
        <a:xfrm>
          <a:off x="12553950" y="3486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14</xdr:col>
      <xdr:colOff>304800</xdr:colOff>
      <xdr:row>17</xdr:row>
      <xdr:rowOff>127000</xdr:rowOff>
    </xdr:to>
    <xdr:sp macro="[1]!CalloutLine1_Click" textlink="">
      <xdr:nvSpPr>
        <xdr:cNvPr id="353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>
          <a:spLocks/>
        </xdr:cNvSpPr>
      </xdr:nvSpPr>
      <xdr:spPr bwMode="auto">
        <a:xfrm>
          <a:off x="12553950" y="3676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40</xdr:row>
      <xdr:rowOff>0</xdr:rowOff>
    </xdr:from>
    <xdr:to>
      <xdr:col>14</xdr:col>
      <xdr:colOff>304800</xdr:colOff>
      <xdr:row>40</xdr:row>
      <xdr:rowOff>127000</xdr:rowOff>
    </xdr:to>
    <xdr:sp macro="[1]!CalloutLine1_Click" textlink="">
      <xdr:nvSpPr>
        <xdr:cNvPr id="354" name="Callout: Lin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>
          <a:spLocks/>
        </xdr:cNvSpPr>
      </xdr:nvSpPr>
      <xdr:spPr bwMode="auto">
        <a:xfrm>
          <a:off x="12553950" y="8058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41</xdr:row>
      <xdr:rowOff>0</xdr:rowOff>
    </xdr:from>
    <xdr:to>
      <xdr:col>14</xdr:col>
      <xdr:colOff>304800</xdr:colOff>
      <xdr:row>41</xdr:row>
      <xdr:rowOff>127000</xdr:rowOff>
    </xdr:to>
    <xdr:sp macro="[1]!CalloutLine1_Click" textlink="">
      <xdr:nvSpPr>
        <xdr:cNvPr id="355" name="Callout: Lin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>
          <a:spLocks/>
        </xdr:cNvSpPr>
      </xdr:nvSpPr>
      <xdr:spPr bwMode="auto">
        <a:xfrm>
          <a:off x="12553950" y="8248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42</xdr:row>
      <xdr:rowOff>0</xdr:rowOff>
    </xdr:from>
    <xdr:to>
      <xdr:col>14</xdr:col>
      <xdr:colOff>304800</xdr:colOff>
      <xdr:row>42</xdr:row>
      <xdr:rowOff>127000</xdr:rowOff>
    </xdr:to>
    <xdr:sp macro="[1]!CalloutLine1_Click" textlink="">
      <xdr:nvSpPr>
        <xdr:cNvPr id="356" name="Callout: Lin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>
          <a:spLocks/>
        </xdr:cNvSpPr>
      </xdr:nvSpPr>
      <xdr:spPr bwMode="auto">
        <a:xfrm>
          <a:off x="12553950" y="8439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43</xdr:row>
      <xdr:rowOff>0</xdr:rowOff>
    </xdr:from>
    <xdr:to>
      <xdr:col>14</xdr:col>
      <xdr:colOff>304800</xdr:colOff>
      <xdr:row>43</xdr:row>
      <xdr:rowOff>127000</xdr:rowOff>
    </xdr:to>
    <xdr:sp macro="[1]!CalloutLine1_Click" textlink="">
      <xdr:nvSpPr>
        <xdr:cNvPr id="357" name="Callout: Line 2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>
          <a:spLocks/>
        </xdr:cNvSpPr>
      </xdr:nvSpPr>
      <xdr:spPr bwMode="auto">
        <a:xfrm>
          <a:off x="12553950" y="8629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38</xdr:row>
      <xdr:rowOff>0</xdr:rowOff>
    </xdr:from>
    <xdr:to>
      <xdr:col>14</xdr:col>
      <xdr:colOff>304800</xdr:colOff>
      <xdr:row>38</xdr:row>
      <xdr:rowOff>127000</xdr:rowOff>
    </xdr:to>
    <xdr:sp macro="[1]!CalloutLine1_Click" textlink="">
      <xdr:nvSpPr>
        <xdr:cNvPr id="358" name="Callout: Line 2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>
          <a:spLocks/>
        </xdr:cNvSpPr>
      </xdr:nvSpPr>
      <xdr:spPr bwMode="auto">
        <a:xfrm>
          <a:off x="12553950" y="7677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19050</xdr:colOff>
      <xdr:row>39</xdr:row>
      <xdr:rowOff>19050</xdr:rowOff>
    </xdr:from>
    <xdr:to>
      <xdr:col>14</xdr:col>
      <xdr:colOff>323850</xdr:colOff>
      <xdr:row>39</xdr:row>
      <xdr:rowOff>146050</xdr:rowOff>
    </xdr:to>
    <xdr:sp macro="[1]!CalloutLine1_Click" textlink="">
      <xdr:nvSpPr>
        <xdr:cNvPr id="359" name="Callout: Line 3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>
          <a:spLocks/>
        </xdr:cNvSpPr>
      </xdr:nvSpPr>
      <xdr:spPr bwMode="auto">
        <a:xfrm>
          <a:off x="12573000" y="78867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304800</xdr:colOff>
      <xdr:row>34</xdr:row>
      <xdr:rowOff>127000</xdr:rowOff>
    </xdr:to>
    <xdr:sp macro="[1]!CalloutLine1_Click" textlink="">
      <xdr:nvSpPr>
        <xdr:cNvPr id="360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>
          <a:spLocks/>
        </xdr:cNvSpPr>
      </xdr:nvSpPr>
      <xdr:spPr bwMode="auto">
        <a:xfrm>
          <a:off x="12553950" y="6915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35</xdr:row>
      <xdr:rowOff>0</xdr:rowOff>
    </xdr:from>
    <xdr:to>
      <xdr:col>14</xdr:col>
      <xdr:colOff>304800</xdr:colOff>
      <xdr:row>35</xdr:row>
      <xdr:rowOff>127000</xdr:rowOff>
    </xdr:to>
    <xdr:sp macro="[1]!CalloutLine1_Click" textlink="">
      <xdr:nvSpPr>
        <xdr:cNvPr id="361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>
          <a:spLocks/>
        </xdr:cNvSpPr>
      </xdr:nvSpPr>
      <xdr:spPr bwMode="auto">
        <a:xfrm>
          <a:off x="12553950" y="7105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27</xdr:row>
      <xdr:rowOff>0</xdr:rowOff>
    </xdr:from>
    <xdr:to>
      <xdr:col>14</xdr:col>
      <xdr:colOff>304800</xdr:colOff>
      <xdr:row>27</xdr:row>
      <xdr:rowOff>127000</xdr:rowOff>
    </xdr:to>
    <xdr:sp macro="[1]!CalloutLine1_Click" textlink="">
      <xdr:nvSpPr>
        <xdr:cNvPr id="362" name="Callout: Line 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>
          <a:spLocks/>
        </xdr:cNvSpPr>
      </xdr:nvSpPr>
      <xdr:spPr bwMode="auto">
        <a:xfrm>
          <a:off x="12553950" y="5581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32</xdr:row>
      <xdr:rowOff>0</xdr:rowOff>
    </xdr:from>
    <xdr:to>
      <xdr:col>14</xdr:col>
      <xdr:colOff>304800</xdr:colOff>
      <xdr:row>32</xdr:row>
      <xdr:rowOff>127000</xdr:rowOff>
    </xdr:to>
    <xdr:sp macro="[1]!CalloutLine1_Click" textlink="">
      <xdr:nvSpPr>
        <xdr:cNvPr id="363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>
          <a:spLocks/>
        </xdr:cNvSpPr>
      </xdr:nvSpPr>
      <xdr:spPr bwMode="auto">
        <a:xfrm>
          <a:off x="12553950" y="6534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33</xdr:row>
      <xdr:rowOff>0</xdr:rowOff>
    </xdr:from>
    <xdr:to>
      <xdr:col>14</xdr:col>
      <xdr:colOff>304800</xdr:colOff>
      <xdr:row>33</xdr:row>
      <xdr:rowOff>127000</xdr:rowOff>
    </xdr:to>
    <xdr:sp macro="[1]!CalloutLine1_Click" textlink="">
      <xdr:nvSpPr>
        <xdr:cNvPr id="364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>
          <a:spLocks/>
        </xdr:cNvSpPr>
      </xdr:nvSpPr>
      <xdr:spPr bwMode="auto">
        <a:xfrm>
          <a:off x="12553950" y="6724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14</xdr:col>
      <xdr:colOff>304800</xdr:colOff>
      <xdr:row>31</xdr:row>
      <xdr:rowOff>127000</xdr:rowOff>
    </xdr:to>
    <xdr:sp macro="[1]!CalloutLine1_Click" textlink="">
      <xdr:nvSpPr>
        <xdr:cNvPr id="365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>
          <a:spLocks/>
        </xdr:cNvSpPr>
      </xdr:nvSpPr>
      <xdr:spPr bwMode="auto">
        <a:xfrm>
          <a:off x="12553950" y="6343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304800</xdr:colOff>
      <xdr:row>19</xdr:row>
      <xdr:rowOff>127000</xdr:rowOff>
    </xdr:to>
    <xdr:sp macro="[1]!CalloutLine1_Click" textlink="">
      <xdr:nvSpPr>
        <xdr:cNvPr id="366" name="Callout: Line 4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>
          <a:spLocks/>
        </xdr:cNvSpPr>
      </xdr:nvSpPr>
      <xdr:spPr bwMode="auto">
        <a:xfrm>
          <a:off x="12553950" y="4057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14</xdr:col>
      <xdr:colOff>304800</xdr:colOff>
      <xdr:row>20</xdr:row>
      <xdr:rowOff>127000</xdr:rowOff>
    </xdr:to>
    <xdr:sp macro="[1]!CalloutLine1_Click" textlink="">
      <xdr:nvSpPr>
        <xdr:cNvPr id="367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>
          <a:spLocks/>
        </xdr:cNvSpPr>
      </xdr:nvSpPr>
      <xdr:spPr bwMode="auto">
        <a:xfrm>
          <a:off x="12553950" y="4248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21</xdr:row>
      <xdr:rowOff>0</xdr:rowOff>
    </xdr:from>
    <xdr:to>
      <xdr:col>14</xdr:col>
      <xdr:colOff>304800</xdr:colOff>
      <xdr:row>21</xdr:row>
      <xdr:rowOff>127000</xdr:rowOff>
    </xdr:to>
    <xdr:sp macro="[1]!CalloutLine1_Click" textlink="">
      <xdr:nvSpPr>
        <xdr:cNvPr id="368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>
          <a:spLocks/>
        </xdr:cNvSpPr>
      </xdr:nvSpPr>
      <xdr:spPr bwMode="auto">
        <a:xfrm>
          <a:off x="12553950" y="4438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24</xdr:row>
      <xdr:rowOff>0</xdr:rowOff>
    </xdr:from>
    <xdr:to>
      <xdr:col>14</xdr:col>
      <xdr:colOff>304800</xdr:colOff>
      <xdr:row>24</xdr:row>
      <xdr:rowOff>127000</xdr:rowOff>
    </xdr:to>
    <xdr:sp macro="[1]!CalloutLine1_Click" textlink="">
      <xdr:nvSpPr>
        <xdr:cNvPr id="369" name="Callout: Line 4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SpPr>
          <a:spLocks/>
        </xdr:cNvSpPr>
      </xdr:nvSpPr>
      <xdr:spPr bwMode="auto">
        <a:xfrm>
          <a:off x="12553950" y="5010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25</xdr:row>
      <xdr:rowOff>0</xdr:rowOff>
    </xdr:from>
    <xdr:to>
      <xdr:col>14</xdr:col>
      <xdr:colOff>304800</xdr:colOff>
      <xdr:row>25</xdr:row>
      <xdr:rowOff>127000</xdr:rowOff>
    </xdr:to>
    <xdr:sp macro="[1]!CalloutLine1_Click" textlink="">
      <xdr:nvSpPr>
        <xdr:cNvPr id="370" name="Callout: Line 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>
          <a:spLocks/>
        </xdr:cNvSpPr>
      </xdr:nvSpPr>
      <xdr:spPr bwMode="auto">
        <a:xfrm>
          <a:off x="12553950" y="5200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26</xdr:row>
      <xdr:rowOff>0</xdr:rowOff>
    </xdr:from>
    <xdr:to>
      <xdr:col>14</xdr:col>
      <xdr:colOff>304800</xdr:colOff>
      <xdr:row>26</xdr:row>
      <xdr:rowOff>127000</xdr:rowOff>
    </xdr:to>
    <xdr:sp macro="[1]!CalloutLine1_Click" textlink="">
      <xdr:nvSpPr>
        <xdr:cNvPr id="371" name="Callout: Line 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>
          <a:spLocks/>
        </xdr:cNvSpPr>
      </xdr:nvSpPr>
      <xdr:spPr bwMode="auto">
        <a:xfrm>
          <a:off x="12553950" y="5391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28</xdr:row>
      <xdr:rowOff>0</xdr:rowOff>
    </xdr:from>
    <xdr:to>
      <xdr:col>14</xdr:col>
      <xdr:colOff>304800</xdr:colOff>
      <xdr:row>28</xdr:row>
      <xdr:rowOff>127000</xdr:rowOff>
    </xdr:to>
    <xdr:sp macro="[1]!CalloutLine1_Click" textlink="">
      <xdr:nvSpPr>
        <xdr:cNvPr id="372" name="Callout: Line 4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SpPr>
          <a:spLocks/>
        </xdr:cNvSpPr>
      </xdr:nvSpPr>
      <xdr:spPr bwMode="auto">
        <a:xfrm>
          <a:off x="12553950" y="5772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304800</xdr:colOff>
      <xdr:row>29</xdr:row>
      <xdr:rowOff>127000</xdr:rowOff>
    </xdr:to>
    <xdr:sp macro="[1]!CalloutLine1_Click" textlink="">
      <xdr:nvSpPr>
        <xdr:cNvPr id="373" name="Callout: Line 4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SpPr>
          <a:spLocks/>
        </xdr:cNvSpPr>
      </xdr:nvSpPr>
      <xdr:spPr bwMode="auto">
        <a:xfrm>
          <a:off x="12553950" y="5962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30</xdr:row>
      <xdr:rowOff>0</xdr:rowOff>
    </xdr:from>
    <xdr:to>
      <xdr:col>14</xdr:col>
      <xdr:colOff>304800</xdr:colOff>
      <xdr:row>30</xdr:row>
      <xdr:rowOff>127000</xdr:rowOff>
    </xdr:to>
    <xdr:sp macro="[1]!CalloutLine1_Click" textlink="">
      <xdr:nvSpPr>
        <xdr:cNvPr id="374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>
          <a:spLocks/>
        </xdr:cNvSpPr>
      </xdr:nvSpPr>
      <xdr:spPr bwMode="auto">
        <a:xfrm>
          <a:off x="12553950" y="6153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14</xdr:col>
      <xdr:colOff>304800</xdr:colOff>
      <xdr:row>23</xdr:row>
      <xdr:rowOff>127000</xdr:rowOff>
    </xdr:to>
    <xdr:sp macro="[1]!CalloutLine1_Click" textlink="">
      <xdr:nvSpPr>
        <xdr:cNvPr id="375" name="Callout: Line 5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>
          <a:spLocks/>
        </xdr:cNvSpPr>
      </xdr:nvSpPr>
      <xdr:spPr bwMode="auto">
        <a:xfrm>
          <a:off x="12553950" y="4819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44</xdr:row>
      <xdr:rowOff>0</xdr:rowOff>
    </xdr:from>
    <xdr:to>
      <xdr:col>14</xdr:col>
      <xdr:colOff>304800</xdr:colOff>
      <xdr:row>44</xdr:row>
      <xdr:rowOff>127000</xdr:rowOff>
    </xdr:to>
    <xdr:sp macro="[1]!CalloutLine1_Click" textlink="">
      <xdr:nvSpPr>
        <xdr:cNvPr id="376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>
          <a:spLocks/>
        </xdr:cNvSpPr>
      </xdr:nvSpPr>
      <xdr:spPr bwMode="auto">
        <a:xfrm>
          <a:off x="12553950" y="8820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45</xdr:row>
      <xdr:rowOff>0</xdr:rowOff>
    </xdr:from>
    <xdr:to>
      <xdr:col>14</xdr:col>
      <xdr:colOff>304800</xdr:colOff>
      <xdr:row>45</xdr:row>
      <xdr:rowOff>127000</xdr:rowOff>
    </xdr:to>
    <xdr:sp macro="[1]!CalloutLine1_Click" textlink="">
      <xdr:nvSpPr>
        <xdr:cNvPr id="377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>
          <a:spLocks/>
        </xdr:cNvSpPr>
      </xdr:nvSpPr>
      <xdr:spPr bwMode="auto">
        <a:xfrm>
          <a:off x="12553950" y="9010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46</xdr:row>
      <xdr:rowOff>0</xdr:rowOff>
    </xdr:from>
    <xdr:to>
      <xdr:col>14</xdr:col>
      <xdr:colOff>304800</xdr:colOff>
      <xdr:row>46</xdr:row>
      <xdr:rowOff>127000</xdr:rowOff>
    </xdr:to>
    <xdr:sp macro="[1]!CalloutLine1_Click" textlink="">
      <xdr:nvSpPr>
        <xdr:cNvPr id="378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>
          <a:spLocks/>
        </xdr:cNvSpPr>
      </xdr:nvSpPr>
      <xdr:spPr bwMode="auto">
        <a:xfrm>
          <a:off x="12553950" y="9201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47</xdr:row>
      <xdr:rowOff>0</xdr:rowOff>
    </xdr:from>
    <xdr:to>
      <xdr:col>14</xdr:col>
      <xdr:colOff>304800</xdr:colOff>
      <xdr:row>47</xdr:row>
      <xdr:rowOff>127000</xdr:rowOff>
    </xdr:to>
    <xdr:sp macro="[1]!CalloutLine1_Click" textlink="">
      <xdr:nvSpPr>
        <xdr:cNvPr id="379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>
          <a:spLocks/>
        </xdr:cNvSpPr>
      </xdr:nvSpPr>
      <xdr:spPr bwMode="auto">
        <a:xfrm>
          <a:off x="12553950" y="9391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48</xdr:row>
      <xdr:rowOff>0</xdr:rowOff>
    </xdr:from>
    <xdr:to>
      <xdr:col>14</xdr:col>
      <xdr:colOff>304800</xdr:colOff>
      <xdr:row>48</xdr:row>
      <xdr:rowOff>127000</xdr:rowOff>
    </xdr:to>
    <xdr:sp macro="[1]!CalloutLine1_Click" textlink="">
      <xdr:nvSpPr>
        <xdr:cNvPr id="380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>
          <a:spLocks/>
        </xdr:cNvSpPr>
      </xdr:nvSpPr>
      <xdr:spPr bwMode="auto">
        <a:xfrm>
          <a:off x="12553950" y="9582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49</xdr:row>
      <xdr:rowOff>0</xdr:rowOff>
    </xdr:from>
    <xdr:to>
      <xdr:col>14</xdr:col>
      <xdr:colOff>304800</xdr:colOff>
      <xdr:row>49</xdr:row>
      <xdr:rowOff>127000</xdr:rowOff>
    </xdr:to>
    <xdr:sp macro="[1]!CalloutLine1_Click" textlink="">
      <xdr:nvSpPr>
        <xdr:cNvPr id="381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>
          <a:spLocks/>
        </xdr:cNvSpPr>
      </xdr:nvSpPr>
      <xdr:spPr bwMode="auto">
        <a:xfrm>
          <a:off x="12553950" y="9772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50</xdr:row>
      <xdr:rowOff>0</xdr:rowOff>
    </xdr:from>
    <xdr:to>
      <xdr:col>14</xdr:col>
      <xdr:colOff>304800</xdr:colOff>
      <xdr:row>50</xdr:row>
      <xdr:rowOff>127000</xdr:rowOff>
    </xdr:to>
    <xdr:sp macro="[1]!CalloutLine1_Click" textlink="">
      <xdr:nvSpPr>
        <xdr:cNvPr id="382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>
          <a:spLocks/>
        </xdr:cNvSpPr>
      </xdr:nvSpPr>
      <xdr:spPr bwMode="auto">
        <a:xfrm>
          <a:off x="12553950" y="9963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51</xdr:row>
      <xdr:rowOff>0</xdr:rowOff>
    </xdr:from>
    <xdr:to>
      <xdr:col>14</xdr:col>
      <xdr:colOff>304800</xdr:colOff>
      <xdr:row>51</xdr:row>
      <xdr:rowOff>127000</xdr:rowOff>
    </xdr:to>
    <xdr:sp macro="[1]!CalloutLine1_Click" textlink="">
      <xdr:nvSpPr>
        <xdr:cNvPr id="383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>
          <a:spLocks/>
        </xdr:cNvSpPr>
      </xdr:nvSpPr>
      <xdr:spPr bwMode="auto">
        <a:xfrm>
          <a:off x="12553950" y="10153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53</xdr:row>
      <xdr:rowOff>0</xdr:rowOff>
    </xdr:from>
    <xdr:to>
      <xdr:col>14</xdr:col>
      <xdr:colOff>304800</xdr:colOff>
      <xdr:row>53</xdr:row>
      <xdr:rowOff>127000</xdr:rowOff>
    </xdr:to>
    <xdr:sp macro="[1]!CalloutLine1_Click" textlink="">
      <xdr:nvSpPr>
        <xdr:cNvPr id="384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>
          <a:spLocks/>
        </xdr:cNvSpPr>
      </xdr:nvSpPr>
      <xdr:spPr bwMode="auto">
        <a:xfrm>
          <a:off x="12553950" y="10534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54</xdr:row>
      <xdr:rowOff>0</xdr:rowOff>
    </xdr:from>
    <xdr:to>
      <xdr:col>14</xdr:col>
      <xdr:colOff>304800</xdr:colOff>
      <xdr:row>54</xdr:row>
      <xdr:rowOff>127000</xdr:rowOff>
    </xdr:to>
    <xdr:sp macro="[1]!CalloutLine1_Click" textlink="">
      <xdr:nvSpPr>
        <xdr:cNvPr id="385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>
          <a:spLocks/>
        </xdr:cNvSpPr>
      </xdr:nvSpPr>
      <xdr:spPr bwMode="auto">
        <a:xfrm>
          <a:off x="12553950" y="10725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55</xdr:row>
      <xdr:rowOff>0</xdr:rowOff>
    </xdr:from>
    <xdr:to>
      <xdr:col>14</xdr:col>
      <xdr:colOff>304800</xdr:colOff>
      <xdr:row>55</xdr:row>
      <xdr:rowOff>127000</xdr:rowOff>
    </xdr:to>
    <xdr:sp macro="[1]!CalloutLine1_Click" textlink="">
      <xdr:nvSpPr>
        <xdr:cNvPr id="386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>
          <a:spLocks/>
        </xdr:cNvSpPr>
      </xdr:nvSpPr>
      <xdr:spPr bwMode="auto">
        <a:xfrm>
          <a:off x="12553950" y="10915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56</xdr:row>
      <xdr:rowOff>0</xdr:rowOff>
    </xdr:from>
    <xdr:to>
      <xdr:col>14</xdr:col>
      <xdr:colOff>304800</xdr:colOff>
      <xdr:row>56</xdr:row>
      <xdr:rowOff>127000</xdr:rowOff>
    </xdr:to>
    <xdr:sp macro="[1]!CalloutLine1_Click" textlink="">
      <xdr:nvSpPr>
        <xdr:cNvPr id="387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>
          <a:spLocks/>
        </xdr:cNvSpPr>
      </xdr:nvSpPr>
      <xdr:spPr bwMode="auto">
        <a:xfrm>
          <a:off x="12553950" y="11106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57</xdr:row>
      <xdr:rowOff>0</xdr:rowOff>
    </xdr:from>
    <xdr:to>
      <xdr:col>14</xdr:col>
      <xdr:colOff>304800</xdr:colOff>
      <xdr:row>57</xdr:row>
      <xdr:rowOff>127000</xdr:rowOff>
    </xdr:to>
    <xdr:sp macro="[1]!CalloutLine1_Click" textlink="">
      <xdr:nvSpPr>
        <xdr:cNvPr id="388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>
          <a:spLocks/>
        </xdr:cNvSpPr>
      </xdr:nvSpPr>
      <xdr:spPr bwMode="auto">
        <a:xfrm>
          <a:off x="12553950" y="11296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58</xdr:row>
      <xdr:rowOff>0</xdr:rowOff>
    </xdr:from>
    <xdr:to>
      <xdr:col>14</xdr:col>
      <xdr:colOff>304800</xdr:colOff>
      <xdr:row>58</xdr:row>
      <xdr:rowOff>127000</xdr:rowOff>
    </xdr:to>
    <xdr:sp macro="[1]!CalloutLine1_Click" textlink="">
      <xdr:nvSpPr>
        <xdr:cNvPr id="389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>
          <a:spLocks/>
        </xdr:cNvSpPr>
      </xdr:nvSpPr>
      <xdr:spPr bwMode="auto">
        <a:xfrm>
          <a:off x="12553950" y="11487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59</xdr:row>
      <xdr:rowOff>0</xdr:rowOff>
    </xdr:from>
    <xdr:to>
      <xdr:col>14</xdr:col>
      <xdr:colOff>304800</xdr:colOff>
      <xdr:row>59</xdr:row>
      <xdr:rowOff>127000</xdr:rowOff>
    </xdr:to>
    <xdr:sp macro="[1]!CalloutLine1_Click" textlink="">
      <xdr:nvSpPr>
        <xdr:cNvPr id="390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>
          <a:spLocks/>
        </xdr:cNvSpPr>
      </xdr:nvSpPr>
      <xdr:spPr bwMode="auto">
        <a:xfrm>
          <a:off x="12553950" y="11677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60</xdr:row>
      <xdr:rowOff>0</xdr:rowOff>
    </xdr:from>
    <xdr:to>
      <xdr:col>14</xdr:col>
      <xdr:colOff>304800</xdr:colOff>
      <xdr:row>60</xdr:row>
      <xdr:rowOff>127000</xdr:rowOff>
    </xdr:to>
    <xdr:sp macro="[1]!CalloutLine1_Click" textlink="">
      <xdr:nvSpPr>
        <xdr:cNvPr id="391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>
          <a:spLocks/>
        </xdr:cNvSpPr>
      </xdr:nvSpPr>
      <xdr:spPr bwMode="auto">
        <a:xfrm>
          <a:off x="12553950" y="11868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61</xdr:row>
      <xdr:rowOff>0</xdr:rowOff>
    </xdr:from>
    <xdr:to>
      <xdr:col>14</xdr:col>
      <xdr:colOff>304800</xdr:colOff>
      <xdr:row>61</xdr:row>
      <xdr:rowOff>127000</xdr:rowOff>
    </xdr:to>
    <xdr:sp macro="[1]!CalloutLine1_Click" textlink="">
      <xdr:nvSpPr>
        <xdr:cNvPr id="392" name="Callout: Line 7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>
          <a:spLocks/>
        </xdr:cNvSpPr>
      </xdr:nvSpPr>
      <xdr:spPr bwMode="auto">
        <a:xfrm>
          <a:off x="12553950" y="12058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62</xdr:row>
      <xdr:rowOff>0</xdr:rowOff>
    </xdr:from>
    <xdr:to>
      <xdr:col>14</xdr:col>
      <xdr:colOff>304800</xdr:colOff>
      <xdr:row>62</xdr:row>
      <xdr:rowOff>127000</xdr:rowOff>
    </xdr:to>
    <xdr:sp macro="[1]!CalloutLine1_Click" textlink="">
      <xdr:nvSpPr>
        <xdr:cNvPr id="393" name="Callout: Line 7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>
          <a:spLocks/>
        </xdr:cNvSpPr>
      </xdr:nvSpPr>
      <xdr:spPr bwMode="auto">
        <a:xfrm>
          <a:off x="12553950" y="12249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63</xdr:row>
      <xdr:rowOff>0</xdr:rowOff>
    </xdr:from>
    <xdr:to>
      <xdr:col>14</xdr:col>
      <xdr:colOff>304800</xdr:colOff>
      <xdr:row>63</xdr:row>
      <xdr:rowOff>127000</xdr:rowOff>
    </xdr:to>
    <xdr:sp macro="[1]!CalloutLine1_Click" textlink="">
      <xdr:nvSpPr>
        <xdr:cNvPr id="394" name="Callout: Line 7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>
          <a:spLocks/>
        </xdr:cNvSpPr>
      </xdr:nvSpPr>
      <xdr:spPr bwMode="auto">
        <a:xfrm>
          <a:off x="12553950" y="12439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70</xdr:row>
      <xdr:rowOff>19050</xdr:rowOff>
    </xdr:from>
    <xdr:to>
      <xdr:col>14</xdr:col>
      <xdr:colOff>304800</xdr:colOff>
      <xdr:row>70</xdr:row>
      <xdr:rowOff>146050</xdr:rowOff>
    </xdr:to>
    <xdr:sp macro="[1]!CalloutLine1_Click" textlink="">
      <xdr:nvSpPr>
        <xdr:cNvPr id="395" name="Callout: Line 7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>
          <a:spLocks/>
        </xdr:cNvSpPr>
      </xdr:nvSpPr>
      <xdr:spPr bwMode="auto">
        <a:xfrm>
          <a:off x="12553950" y="137922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9525</xdr:colOff>
      <xdr:row>69</xdr:row>
      <xdr:rowOff>19050</xdr:rowOff>
    </xdr:from>
    <xdr:to>
      <xdr:col>14</xdr:col>
      <xdr:colOff>314325</xdr:colOff>
      <xdr:row>69</xdr:row>
      <xdr:rowOff>146050</xdr:rowOff>
    </xdr:to>
    <xdr:sp macro="[1]!CalloutLine1_Click" textlink="">
      <xdr:nvSpPr>
        <xdr:cNvPr id="396" name="Callout: Line 72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>
          <a:spLocks/>
        </xdr:cNvSpPr>
      </xdr:nvSpPr>
      <xdr:spPr bwMode="auto">
        <a:xfrm>
          <a:off x="12563475" y="136017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72</xdr:row>
      <xdr:rowOff>0</xdr:rowOff>
    </xdr:from>
    <xdr:to>
      <xdr:col>14</xdr:col>
      <xdr:colOff>304800</xdr:colOff>
      <xdr:row>72</xdr:row>
      <xdr:rowOff>127000</xdr:rowOff>
    </xdr:to>
    <xdr:sp macro="[1]!CalloutLine1_Click" textlink="">
      <xdr:nvSpPr>
        <xdr:cNvPr id="397" name="Callout: Line 72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>
          <a:spLocks/>
        </xdr:cNvSpPr>
      </xdr:nvSpPr>
      <xdr:spPr bwMode="auto">
        <a:xfrm>
          <a:off x="12553950" y="14154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74</xdr:row>
      <xdr:rowOff>0</xdr:rowOff>
    </xdr:from>
    <xdr:to>
      <xdr:col>14</xdr:col>
      <xdr:colOff>304800</xdr:colOff>
      <xdr:row>74</xdr:row>
      <xdr:rowOff>127000</xdr:rowOff>
    </xdr:to>
    <xdr:sp macro="[1]!CalloutLine1_Click" textlink="">
      <xdr:nvSpPr>
        <xdr:cNvPr id="398" name="Callout: Line 7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>
          <a:spLocks/>
        </xdr:cNvSpPr>
      </xdr:nvSpPr>
      <xdr:spPr bwMode="auto">
        <a:xfrm>
          <a:off x="12553950" y="14535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75</xdr:row>
      <xdr:rowOff>0</xdr:rowOff>
    </xdr:from>
    <xdr:to>
      <xdr:col>14</xdr:col>
      <xdr:colOff>304800</xdr:colOff>
      <xdr:row>75</xdr:row>
      <xdr:rowOff>127000</xdr:rowOff>
    </xdr:to>
    <xdr:sp macro="[1]!CalloutLine1_Click" textlink="">
      <xdr:nvSpPr>
        <xdr:cNvPr id="399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>
          <a:spLocks/>
        </xdr:cNvSpPr>
      </xdr:nvSpPr>
      <xdr:spPr bwMode="auto">
        <a:xfrm>
          <a:off x="12553950" y="14725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77</xdr:row>
      <xdr:rowOff>0</xdr:rowOff>
    </xdr:from>
    <xdr:to>
      <xdr:col>14</xdr:col>
      <xdr:colOff>304800</xdr:colOff>
      <xdr:row>77</xdr:row>
      <xdr:rowOff>127000</xdr:rowOff>
    </xdr:to>
    <xdr:sp macro="[1]!CalloutLine1_Click" textlink="">
      <xdr:nvSpPr>
        <xdr:cNvPr id="400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>
          <a:spLocks/>
        </xdr:cNvSpPr>
      </xdr:nvSpPr>
      <xdr:spPr bwMode="auto">
        <a:xfrm>
          <a:off x="12553950" y="15106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78</xdr:row>
      <xdr:rowOff>0</xdr:rowOff>
    </xdr:from>
    <xdr:to>
      <xdr:col>14</xdr:col>
      <xdr:colOff>304800</xdr:colOff>
      <xdr:row>78</xdr:row>
      <xdr:rowOff>127000</xdr:rowOff>
    </xdr:to>
    <xdr:sp macro="[1]!CalloutLine1_Click" textlink="">
      <xdr:nvSpPr>
        <xdr:cNvPr id="401" name="Callout: Line 7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>
          <a:spLocks/>
        </xdr:cNvSpPr>
      </xdr:nvSpPr>
      <xdr:spPr bwMode="auto">
        <a:xfrm>
          <a:off x="12553950" y="15297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80</xdr:row>
      <xdr:rowOff>0</xdr:rowOff>
    </xdr:from>
    <xdr:to>
      <xdr:col>14</xdr:col>
      <xdr:colOff>304800</xdr:colOff>
      <xdr:row>80</xdr:row>
      <xdr:rowOff>127000</xdr:rowOff>
    </xdr:to>
    <xdr:sp macro="[1]!CalloutLine1_Click" textlink="">
      <xdr:nvSpPr>
        <xdr:cNvPr id="402" name="Callout: Line 72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>
          <a:spLocks/>
        </xdr:cNvSpPr>
      </xdr:nvSpPr>
      <xdr:spPr bwMode="auto">
        <a:xfrm>
          <a:off x="12553950" y="15678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82</xdr:row>
      <xdr:rowOff>0</xdr:rowOff>
    </xdr:from>
    <xdr:to>
      <xdr:col>14</xdr:col>
      <xdr:colOff>304800</xdr:colOff>
      <xdr:row>82</xdr:row>
      <xdr:rowOff>127000</xdr:rowOff>
    </xdr:to>
    <xdr:sp macro="[1]!CalloutLine1_Click" textlink="">
      <xdr:nvSpPr>
        <xdr:cNvPr id="403" name="Callout: Line 72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>
          <a:spLocks/>
        </xdr:cNvSpPr>
      </xdr:nvSpPr>
      <xdr:spPr bwMode="auto">
        <a:xfrm>
          <a:off x="12553950" y="16059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83</xdr:row>
      <xdr:rowOff>0</xdr:rowOff>
    </xdr:from>
    <xdr:to>
      <xdr:col>14</xdr:col>
      <xdr:colOff>304800</xdr:colOff>
      <xdr:row>83</xdr:row>
      <xdr:rowOff>127000</xdr:rowOff>
    </xdr:to>
    <xdr:sp macro="[1]!CalloutLine1_Click" textlink="">
      <xdr:nvSpPr>
        <xdr:cNvPr id="404" name="Callout: Line 7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>
          <a:spLocks/>
        </xdr:cNvSpPr>
      </xdr:nvSpPr>
      <xdr:spPr bwMode="auto">
        <a:xfrm>
          <a:off x="12553950" y="16249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9525</xdr:colOff>
      <xdr:row>68</xdr:row>
      <xdr:rowOff>9525</xdr:rowOff>
    </xdr:from>
    <xdr:to>
      <xdr:col>14</xdr:col>
      <xdr:colOff>314325</xdr:colOff>
      <xdr:row>68</xdr:row>
      <xdr:rowOff>161925</xdr:rowOff>
    </xdr:to>
    <xdr:sp macro="[1]!CalloutLine1_Click" textlink="">
      <xdr:nvSpPr>
        <xdr:cNvPr id="405" name="Callout: Line 6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>
          <a:spLocks/>
        </xdr:cNvSpPr>
      </xdr:nvSpPr>
      <xdr:spPr bwMode="auto">
        <a:xfrm>
          <a:off x="12563475" y="13401675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71</xdr:row>
      <xdr:rowOff>9525</xdr:rowOff>
    </xdr:from>
    <xdr:to>
      <xdr:col>14</xdr:col>
      <xdr:colOff>304800</xdr:colOff>
      <xdr:row>71</xdr:row>
      <xdr:rowOff>161925</xdr:rowOff>
    </xdr:to>
    <xdr:sp macro="[1]!CalloutLine1_Click" textlink="">
      <xdr:nvSpPr>
        <xdr:cNvPr id="406" name="Callout: Line 6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>
          <a:spLocks/>
        </xdr:cNvSpPr>
      </xdr:nvSpPr>
      <xdr:spPr bwMode="auto">
        <a:xfrm>
          <a:off x="12553950" y="13973175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9525</xdr:colOff>
      <xdr:row>73</xdr:row>
      <xdr:rowOff>19050</xdr:rowOff>
    </xdr:from>
    <xdr:to>
      <xdr:col>14</xdr:col>
      <xdr:colOff>314325</xdr:colOff>
      <xdr:row>73</xdr:row>
      <xdr:rowOff>146050</xdr:rowOff>
    </xdr:to>
    <xdr:sp macro="[1]!CalloutLine1_Click" textlink="">
      <xdr:nvSpPr>
        <xdr:cNvPr id="407" name="Callout: Line 6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>
          <a:spLocks/>
        </xdr:cNvSpPr>
      </xdr:nvSpPr>
      <xdr:spPr bwMode="auto">
        <a:xfrm>
          <a:off x="12563475" y="143637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76</xdr:row>
      <xdr:rowOff>19050</xdr:rowOff>
    </xdr:from>
    <xdr:to>
      <xdr:col>14</xdr:col>
      <xdr:colOff>304800</xdr:colOff>
      <xdr:row>76</xdr:row>
      <xdr:rowOff>146050</xdr:rowOff>
    </xdr:to>
    <xdr:sp macro="[1]!CalloutLine1_Click" textlink="">
      <xdr:nvSpPr>
        <xdr:cNvPr id="408" name="Callout: Line 6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>
          <a:spLocks/>
        </xdr:cNvSpPr>
      </xdr:nvSpPr>
      <xdr:spPr bwMode="auto">
        <a:xfrm>
          <a:off x="12553950" y="149352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79</xdr:row>
      <xdr:rowOff>28575</xdr:rowOff>
    </xdr:from>
    <xdr:to>
      <xdr:col>14</xdr:col>
      <xdr:colOff>304800</xdr:colOff>
      <xdr:row>79</xdr:row>
      <xdr:rowOff>155575</xdr:rowOff>
    </xdr:to>
    <xdr:sp macro="[1]!CalloutLine1_Click" textlink="">
      <xdr:nvSpPr>
        <xdr:cNvPr id="409" name="Callout: Line 69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>
          <a:spLocks/>
        </xdr:cNvSpPr>
      </xdr:nvSpPr>
      <xdr:spPr bwMode="auto">
        <a:xfrm>
          <a:off x="12553950" y="15516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9525</xdr:colOff>
      <xdr:row>81</xdr:row>
      <xdr:rowOff>9525</xdr:rowOff>
    </xdr:from>
    <xdr:to>
      <xdr:col>14</xdr:col>
      <xdr:colOff>314325</xdr:colOff>
      <xdr:row>81</xdr:row>
      <xdr:rowOff>136525</xdr:rowOff>
    </xdr:to>
    <xdr:sp macro="[1]!CalloutLine1_Click" textlink="">
      <xdr:nvSpPr>
        <xdr:cNvPr id="410" name="Callout: Line 6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>
          <a:spLocks/>
        </xdr:cNvSpPr>
      </xdr:nvSpPr>
      <xdr:spPr bwMode="auto">
        <a:xfrm>
          <a:off x="12563475" y="1587817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64</xdr:row>
      <xdr:rowOff>0</xdr:rowOff>
    </xdr:from>
    <xdr:to>
      <xdr:col>14</xdr:col>
      <xdr:colOff>304800</xdr:colOff>
      <xdr:row>64</xdr:row>
      <xdr:rowOff>127000</xdr:rowOff>
    </xdr:to>
    <xdr:sp macro="[1]!CalloutLine1_Click" textlink="">
      <xdr:nvSpPr>
        <xdr:cNvPr id="411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>
          <a:spLocks/>
        </xdr:cNvSpPr>
      </xdr:nvSpPr>
      <xdr:spPr bwMode="auto">
        <a:xfrm>
          <a:off x="12553950" y="12630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65</xdr:row>
      <xdr:rowOff>0</xdr:rowOff>
    </xdr:from>
    <xdr:to>
      <xdr:col>14</xdr:col>
      <xdr:colOff>304800</xdr:colOff>
      <xdr:row>65</xdr:row>
      <xdr:rowOff>127000</xdr:rowOff>
    </xdr:to>
    <xdr:sp macro="[1]!CalloutLine1_Click" textlink="">
      <xdr:nvSpPr>
        <xdr:cNvPr id="412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>
          <a:spLocks/>
        </xdr:cNvSpPr>
      </xdr:nvSpPr>
      <xdr:spPr bwMode="auto">
        <a:xfrm>
          <a:off x="12553950" y="12820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66</xdr:row>
      <xdr:rowOff>0</xdr:rowOff>
    </xdr:from>
    <xdr:to>
      <xdr:col>14</xdr:col>
      <xdr:colOff>304800</xdr:colOff>
      <xdr:row>66</xdr:row>
      <xdr:rowOff>127000</xdr:rowOff>
    </xdr:to>
    <xdr:sp macro="[1]!CalloutLine1_Click" textlink="">
      <xdr:nvSpPr>
        <xdr:cNvPr id="413" name="Callout: Line 7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>
          <a:spLocks/>
        </xdr:cNvSpPr>
      </xdr:nvSpPr>
      <xdr:spPr bwMode="auto">
        <a:xfrm>
          <a:off x="12553950" y="13011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67</xdr:row>
      <xdr:rowOff>0</xdr:rowOff>
    </xdr:from>
    <xdr:to>
      <xdr:col>14</xdr:col>
      <xdr:colOff>304800</xdr:colOff>
      <xdr:row>67</xdr:row>
      <xdr:rowOff>127000</xdr:rowOff>
    </xdr:to>
    <xdr:sp macro="[1]!CalloutLine1_Click" textlink="">
      <xdr:nvSpPr>
        <xdr:cNvPr id="414" name="Callout: Line 73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>
          <a:spLocks/>
        </xdr:cNvSpPr>
      </xdr:nvSpPr>
      <xdr:spPr bwMode="auto">
        <a:xfrm>
          <a:off x="12553950" y="13201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84</xdr:row>
      <xdr:rowOff>0</xdr:rowOff>
    </xdr:from>
    <xdr:to>
      <xdr:col>14</xdr:col>
      <xdr:colOff>304800</xdr:colOff>
      <xdr:row>84</xdr:row>
      <xdr:rowOff>127000</xdr:rowOff>
    </xdr:to>
    <xdr:sp macro="[1]!CalloutLine1_Click" textlink="">
      <xdr:nvSpPr>
        <xdr:cNvPr id="415" name="Callout: Line 7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>
          <a:spLocks/>
        </xdr:cNvSpPr>
      </xdr:nvSpPr>
      <xdr:spPr bwMode="auto">
        <a:xfrm>
          <a:off x="12553950" y="16440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85</xdr:row>
      <xdr:rowOff>0</xdr:rowOff>
    </xdr:from>
    <xdr:to>
      <xdr:col>14</xdr:col>
      <xdr:colOff>304800</xdr:colOff>
      <xdr:row>85</xdr:row>
      <xdr:rowOff>127000</xdr:rowOff>
    </xdr:to>
    <xdr:sp macro="[1]!CalloutLine1_Click" textlink="">
      <xdr:nvSpPr>
        <xdr:cNvPr id="416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>
          <a:spLocks/>
        </xdr:cNvSpPr>
      </xdr:nvSpPr>
      <xdr:spPr bwMode="auto">
        <a:xfrm>
          <a:off x="12553950" y="16630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86</xdr:row>
      <xdr:rowOff>0</xdr:rowOff>
    </xdr:from>
    <xdr:to>
      <xdr:col>14</xdr:col>
      <xdr:colOff>304800</xdr:colOff>
      <xdr:row>86</xdr:row>
      <xdr:rowOff>127000</xdr:rowOff>
    </xdr:to>
    <xdr:sp macro="[1]!CalloutLine1_Click" textlink="">
      <xdr:nvSpPr>
        <xdr:cNvPr id="417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>
          <a:spLocks/>
        </xdr:cNvSpPr>
      </xdr:nvSpPr>
      <xdr:spPr bwMode="auto">
        <a:xfrm>
          <a:off x="12553950" y="16821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21558</xdr:colOff>
      <xdr:row>1</xdr:row>
      <xdr:rowOff>48127</xdr:rowOff>
    </xdr:from>
    <xdr:to>
      <xdr:col>13</xdr:col>
      <xdr:colOff>240632</xdr:colOff>
      <xdr:row>1</xdr:row>
      <xdr:rowOff>160421</xdr:rowOff>
    </xdr:to>
    <xdr:sp macro="" textlink="">
      <xdr:nvSpPr>
        <xdr:cNvPr id="418" name="Callout: Double Bent Line with Border and Accent Bar 417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>
        <a:xfrm>
          <a:off x="15442032" y="1331495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73</xdr:row>
      <xdr:rowOff>0</xdr:rowOff>
    </xdr:from>
    <xdr:to>
      <xdr:col>13</xdr:col>
      <xdr:colOff>266700</xdr:colOff>
      <xdr:row>73</xdr:row>
      <xdr:rowOff>114300</xdr:rowOff>
    </xdr:to>
    <xdr:sp macro="" textlink="">
      <xdr:nvSpPr>
        <xdr:cNvPr id="419" name="Callout: Double Bent Line with Border and Accent Bar 418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>
        <a:xfrm>
          <a:off x="11811000" y="14344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68</xdr:row>
      <xdr:rowOff>0</xdr:rowOff>
    </xdr:from>
    <xdr:to>
      <xdr:col>13</xdr:col>
      <xdr:colOff>266700</xdr:colOff>
      <xdr:row>68</xdr:row>
      <xdr:rowOff>114300</xdr:rowOff>
    </xdr:to>
    <xdr:sp macro="" textlink="">
      <xdr:nvSpPr>
        <xdr:cNvPr id="420" name="Callout: Double Bent Line with Border and Accent Bar 419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>
        <a:xfrm>
          <a:off x="11811000" y="13392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67</xdr:row>
      <xdr:rowOff>0</xdr:rowOff>
    </xdr:from>
    <xdr:to>
      <xdr:col>13</xdr:col>
      <xdr:colOff>266700</xdr:colOff>
      <xdr:row>67</xdr:row>
      <xdr:rowOff>114300</xdr:rowOff>
    </xdr:to>
    <xdr:sp macro="" textlink="">
      <xdr:nvSpPr>
        <xdr:cNvPr id="421" name="Callout: Double Bent Line with Border and Accent Bar 420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/>
      </xdr:nvSpPr>
      <xdr:spPr>
        <a:xfrm>
          <a:off x="11811000" y="13201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80</xdr:row>
      <xdr:rowOff>0</xdr:rowOff>
    </xdr:from>
    <xdr:to>
      <xdr:col>13</xdr:col>
      <xdr:colOff>266700</xdr:colOff>
      <xdr:row>80</xdr:row>
      <xdr:rowOff>114300</xdr:rowOff>
    </xdr:to>
    <xdr:sp macro="" textlink="">
      <xdr:nvSpPr>
        <xdr:cNvPr id="422" name="Callout: Double Bent Line with Border and Accent Bar 421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>
        <a:xfrm>
          <a:off x="11811000" y="15678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84</xdr:row>
      <xdr:rowOff>0</xdr:rowOff>
    </xdr:from>
    <xdr:to>
      <xdr:col>13</xdr:col>
      <xdr:colOff>266700</xdr:colOff>
      <xdr:row>84</xdr:row>
      <xdr:rowOff>114300</xdr:rowOff>
    </xdr:to>
    <xdr:sp macro="" textlink="">
      <xdr:nvSpPr>
        <xdr:cNvPr id="423" name="Callout: Double Bent Line with Border and Accent Bar 422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>
        <a:xfrm>
          <a:off x="11811000" y="16440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76</xdr:row>
      <xdr:rowOff>0</xdr:rowOff>
    </xdr:from>
    <xdr:to>
      <xdr:col>13</xdr:col>
      <xdr:colOff>266700</xdr:colOff>
      <xdr:row>76</xdr:row>
      <xdr:rowOff>114300</xdr:rowOff>
    </xdr:to>
    <xdr:sp macro="" textlink="">
      <xdr:nvSpPr>
        <xdr:cNvPr id="424" name="Callout: Double Bent Line with Border and Accent Bar 42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>
        <a:xfrm>
          <a:off x="11811000" y="14916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85</xdr:row>
      <xdr:rowOff>0</xdr:rowOff>
    </xdr:from>
    <xdr:to>
      <xdr:col>13</xdr:col>
      <xdr:colOff>266700</xdr:colOff>
      <xdr:row>85</xdr:row>
      <xdr:rowOff>114300</xdr:rowOff>
    </xdr:to>
    <xdr:sp macro="" textlink="">
      <xdr:nvSpPr>
        <xdr:cNvPr id="425" name="Callout: Double Bent Line with Border and Accent Bar 42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/>
      </xdr:nvSpPr>
      <xdr:spPr>
        <a:xfrm>
          <a:off x="11811000" y="16630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86</xdr:row>
      <xdr:rowOff>0</xdr:rowOff>
    </xdr:from>
    <xdr:to>
      <xdr:col>13</xdr:col>
      <xdr:colOff>266700</xdr:colOff>
      <xdr:row>86</xdr:row>
      <xdr:rowOff>114300</xdr:rowOff>
    </xdr:to>
    <xdr:sp macro="" textlink="">
      <xdr:nvSpPr>
        <xdr:cNvPr id="426" name="Callout: Double Bent Line with Border and Accent Bar 425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>
        <a:xfrm>
          <a:off x="11811000" y="16821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82</xdr:row>
      <xdr:rowOff>0</xdr:rowOff>
    </xdr:from>
    <xdr:to>
      <xdr:col>13</xdr:col>
      <xdr:colOff>266700</xdr:colOff>
      <xdr:row>82</xdr:row>
      <xdr:rowOff>114300</xdr:rowOff>
    </xdr:to>
    <xdr:sp macro="" textlink="">
      <xdr:nvSpPr>
        <xdr:cNvPr id="427" name="Callout: Double Bent Line with Border and Accent Bar 426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>
        <a:xfrm>
          <a:off x="11811000" y="16059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83</xdr:row>
      <xdr:rowOff>0</xdr:rowOff>
    </xdr:from>
    <xdr:to>
      <xdr:col>13</xdr:col>
      <xdr:colOff>266700</xdr:colOff>
      <xdr:row>83</xdr:row>
      <xdr:rowOff>114300</xdr:rowOff>
    </xdr:to>
    <xdr:sp macro="" textlink="">
      <xdr:nvSpPr>
        <xdr:cNvPr id="428" name="Callout: Double Bent Line with Border and Accent Bar 42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>
        <a:xfrm>
          <a:off x="11811000" y="16249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44</xdr:row>
      <xdr:rowOff>0</xdr:rowOff>
    </xdr:from>
    <xdr:to>
      <xdr:col>13</xdr:col>
      <xdr:colOff>266700</xdr:colOff>
      <xdr:row>44</xdr:row>
      <xdr:rowOff>114300</xdr:rowOff>
    </xdr:to>
    <xdr:sp macro="" textlink="">
      <xdr:nvSpPr>
        <xdr:cNvPr id="429" name="Callout: Double Bent Line with Border and Accent Bar 428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/>
      </xdr:nvSpPr>
      <xdr:spPr>
        <a:xfrm>
          <a:off x="11811000" y="8820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45</xdr:row>
      <xdr:rowOff>0</xdr:rowOff>
    </xdr:from>
    <xdr:to>
      <xdr:col>13</xdr:col>
      <xdr:colOff>266700</xdr:colOff>
      <xdr:row>45</xdr:row>
      <xdr:rowOff>114300</xdr:rowOff>
    </xdr:to>
    <xdr:sp macro="" textlink="">
      <xdr:nvSpPr>
        <xdr:cNvPr id="430" name="Callout: Double Bent Line with Border and Accent Bar 42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>
        <a:xfrm>
          <a:off x="11811000" y="9010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46</xdr:row>
      <xdr:rowOff>0</xdr:rowOff>
    </xdr:from>
    <xdr:to>
      <xdr:col>13</xdr:col>
      <xdr:colOff>266700</xdr:colOff>
      <xdr:row>46</xdr:row>
      <xdr:rowOff>114300</xdr:rowOff>
    </xdr:to>
    <xdr:sp macro="" textlink="">
      <xdr:nvSpPr>
        <xdr:cNvPr id="431" name="Callout: Double Bent Line with Border and Accent Bar 430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>
        <a:xfrm>
          <a:off x="11811000" y="9201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47</xdr:row>
      <xdr:rowOff>0</xdr:rowOff>
    </xdr:from>
    <xdr:to>
      <xdr:col>13</xdr:col>
      <xdr:colOff>266700</xdr:colOff>
      <xdr:row>47</xdr:row>
      <xdr:rowOff>114300</xdr:rowOff>
    </xdr:to>
    <xdr:sp macro="" textlink="">
      <xdr:nvSpPr>
        <xdr:cNvPr id="432" name="Callout: Double Bent Line with Border and Accent Bar 43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>
        <a:xfrm>
          <a:off x="11811000" y="9391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48</xdr:row>
      <xdr:rowOff>0</xdr:rowOff>
    </xdr:from>
    <xdr:to>
      <xdr:col>13</xdr:col>
      <xdr:colOff>266700</xdr:colOff>
      <xdr:row>48</xdr:row>
      <xdr:rowOff>114300</xdr:rowOff>
    </xdr:to>
    <xdr:sp macro="" textlink="">
      <xdr:nvSpPr>
        <xdr:cNvPr id="433" name="Callout: Double Bent Line with Border and Accent Bar 432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/>
      </xdr:nvSpPr>
      <xdr:spPr>
        <a:xfrm>
          <a:off x="11811000" y="9582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49</xdr:row>
      <xdr:rowOff>0</xdr:rowOff>
    </xdr:from>
    <xdr:to>
      <xdr:col>13</xdr:col>
      <xdr:colOff>266700</xdr:colOff>
      <xdr:row>49</xdr:row>
      <xdr:rowOff>114300</xdr:rowOff>
    </xdr:to>
    <xdr:sp macro="" textlink="">
      <xdr:nvSpPr>
        <xdr:cNvPr id="434" name="Callout: Double Bent Line with Border and Accent Bar 433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>
        <a:xfrm>
          <a:off x="11811000" y="9772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50</xdr:row>
      <xdr:rowOff>0</xdr:rowOff>
    </xdr:from>
    <xdr:to>
      <xdr:col>13</xdr:col>
      <xdr:colOff>266700</xdr:colOff>
      <xdr:row>50</xdr:row>
      <xdr:rowOff>114300</xdr:rowOff>
    </xdr:to>
    <xdr:sp macro="" textlink="">
      <xdr:nvSpPr>
        <xdr:cNvPr id="435" name="Callout: Double Bent Line with Border and Accent Bar 434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>
        <a:xfrm>
          <a:off x="11811000" y="9963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51</xdr:row>
      <xdr:rowOff>0</xdr:rowOff>
    </xdr:from>
    <xdr:to>
      <xdr:col>13</xdr:col>
      <xdr:colOff>266700</xdr:colOff>
      <xdr:row>51</xdr:row>
      <xdr:rowOff>114300</xdr:rowOff>
    </xdr:to>
    <xdr:sp macro="" textlink="">
      <xdr:nvSpPr>
        <xdr:cNvPr id="436" name="Callout: Double Bent Line with Border and Accent Bar 435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>
        <a:xfrm>
          <a:off x="11811000" y="10153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52</xdr:row>
      <xdr:rowOff>0</xdr:rowOff>
    </xdr:from>
    <xdr:to>
      <xdr:col>13</xdr:col>
      <xdr:colOff>266700</xdr:colOff>
      <xdr:row>52</xdr:row>
      <xdr:rowOff>114300</xdr:rowOff>
    </xdr:to>
    <xdr:sp macro="" textlink="">
      <xdr:nvSpPr>
        <xdr:cNvPr id="437" name="Callout: Double Bent Line with Border and Accent Bar 436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/>
      </xdr:nvSpPr>
      <xdr:spPr>
        <a:xfrm>
          <a:off x="11811000" y="10344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13</xdr:col>
      <xdr:colOff>266700</xdr:colOff>
      <xdr:row>53</xdr:row>
      <xdr:rowOff>114300</xdr:rowOff>
    </xdr:to>
    <xdr:sp macro="" textlink="">
      <xdr:nvSpPr>
        <xdr:cNvPr id="438" name="Callout: Double Bent Line with Border and Accent Bar 43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>
        <a:xfrm>
          <a:off x="11811000" y="10534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54</xdr:row>
      <xdr:rowOff>0</xdr:rowOff>
    </xdr:from>
    <xdr:to>
      <xdr:col>13</xdr:col>
      <xdr:colOff>266700</xdr:colOff>
      <xdr:row>54</xdr:row>
      <xdr:rowOff>114300</xdr:rowOff>
    </xdr:to>
    <xdr:sp macro="" textlink="">
      <xdr:nvSpPr>
        <xdr:cNvPr id="439" name="Callout: Double Bent Line with Border and Accent Bar 438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>
        <a:xfrm>
          <a:off x="11811000" y="10725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13</xdr:col>
      <xdr:colOff>266700</xdr:colOff>
      <xdr:row>55</xdr:row>
      <xdr:rowOff>114300</xdr:rowOff>
    </xdr:to>
    <xdr:sp macro="" textlink="">
      <xdr:nvSpPr>
        <xdr:cNvPr id="440" name="Callout: Double Bent Line with Border and Accent Bar 439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>
        <a:xfrm>
          <a:off x="11811000" y="10915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56</xdr:row>
      <xdr:rowOff>0</xdr:rowOff>
    </xdr:from>
    <xdr:to>
      <xdr:col>13</xdr:col>
      <xdr:colOff>266700</xdr:colOff>
      <xdr:row>56</xdr:row>
      <xdr:rowOff>114300</xdr:rowOff>
    </xdr:to>
    <xdr:sp macro="" textlink="">
      <xdr:nvSpPr>
        <xdr:cNvPr id="441" name="Callout: Double Bent Line with Border and Accent Bar 440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/>
      </xdr:nvSpPr>
      <xdr:spPr>
        <a:xfrm>
          <a:off x="11811000" y="11106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57</xdr:row>
      <xdr:rowOff>0</xdr:rowOff>
    </xdr:from>
    <xdr:to>
      <xdr:col>13</xdr:col>
      <xdr:colOff>266700</xdr:colOff>
      <xdr:row>57</xdr:row>
      <xdr:rowOff>114300</xdr:rowOff>
    </xdr:to>
    <xdr:sp macro="" textlink="">
      <xdr:nvSpPr>
        <xdr:cNvPr id="442" name="Callout: Double Bent Line with Border and Accent Bar 441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>
        <a:xfrm>
          <a:off x="11811000" y="11296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58</xdr:row>
      <xdr:rowOff>0</xdr:rowOff>
    </xdr:from>
    <xdr:to>
      <xdr:col>13</xdr:col>
      <xdr:colOff>266700</xdr:colOff>
      <xdr:row>58</xdr:row>
      <xdr:rowOff>114300</xdr:rowOff>
    </xdr:to>
    <xdr:sp macro="" textlink="">
      <xdr:nvSpPr>
        <xdr:cNvPr id="443" name="Callout: Double Bent Line with Border and Accent Bar 442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>
        <a:xfrm>
          <a:off x="11811000" y="11487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59</xdr:row>
      <xdr:rowOff>0</xdr:rowOff>
    </xdr:from>
    <xdr:to>
      <xdr:col>13</xdr:col>
      <xdr:colOff>266700</xdr:colOff>
      <xdr:row>59</xdr:row>
      <xdr:rowOff>114300</xdr:rowOff>
    </xdr:to>
    <xdr:sp macro="" textlink="">
      <xdr:nvSpPr>
        <xdr:cNvPr id="444" name="Callout: Double Bent Line with Border and Accent Bar 443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>
        <a:xfrm>
          <a:off x="11811000" y="11677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60</xdr:row>
      <xdr:rowOff>0</xdr:rowOff>
    </xdr:from>
    <xdr:to>
      <xdr:col>13</xdr:col>
      <xdr:colOff>266700</xdr:colOff>
      <xdr:row>60</xdr:row>
      <xdr:rowOff>114300</xdr:rowOff>
    </xdr:to>
    <xdr:sp macro="" textlink="">
      <xdr:nvSpPr>
        <xdr:cNvPr id="445" name="Callout: Double Bent Line with Border and Accent Bar 444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/>
      </xdr:nvSpPr>
      <xdr:spPr>
        <a:xfrm>
          <a:off x="11811000" y="11868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61</xdr:row>
      <xdr:rowOff>0</xdr:rowOff>
    </xdr:from>
    <xdr:to>
      <xdr:col>13</xdr:col>
      <xdr:colOff>266700</xdr:colOff>
      <xdr:row>61</xdr:row>
      <xdr:rowOff>114300</xdr:rowOff>
    </xdr:to>
    <xdr:sp macro="" textlink="">
      <xdr:nvSpPr>
        <xdr:cNvPr id="446" name="Callout: Double Bent Line with Border and Accent Bar 445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>
        <a:xfrm>
          <a:off x="11811000" y="12058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62</xdr:row>
      <xdr:rowOff>0</xdr:rowOff>
    </xdr:from>
    <xdr:to>
      <xdr:col>13</xdr:col>
      <xdr:colOff>266700</xdr:colOff>
      <xdr:row>62</xdr:row>
      <xdr:rowOff>114300</xdr:rowOff>
    </xdr:to>
    <xdr:sp macro="" textlink="">
      <xdr:nvSpPr>
        <xdr:cNvPr id="447" name="Callout: Double Bent Line with Border and Accent Bar 446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>
        <a:xfrm>
          <a:off x="11811000" y="12249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63</xdr:row>
      <xdr:rowOff>0</xdr:rowOff>
    </xdr:from>
    <xdr:to>
      <xdr:col>13</xdr:col>
      <xdr:colOff>266700</xdr:colOff>
      <xdr:row>63</xdr:row>
      <xdr:rowOff>114300</xdr:rowOff>
    </xdr:to>
    <xdr:sp macro="" textlink="">
      <xdr:nvSpPr>
        <xdr:cNvPr id="448" name="Callout: Double Bent Line with Border and Accent Bar 447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>
        <a:xfrm>
          <a:off x="11811000" y="12439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13</xdr:col>
      <xdr:colOff>266700</xdr:colOff>
      <xdr:row>2</xdr:row>
      <xdr:rowOff>114300</xdr:rowOff>
    </xdr:to>
    <xdr:sp macro="" textlink="">
      <xdr:nvSpPr>
        <xdr:cNvPr id="449" name="Callout: Double Bent Line with Border and Accent Bar 448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/>
      </xdr:nvSpPr>
      <xdr:spPr>
        <a:xfrm>
          <a:off x="11811000" y="7334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266700</xdr:colOff>
      <xdr:row>3</xdr:row>
      <xdr:rowOff>114300</xdr:rowOff>
    </xdr:to>
    <xdr:sp macro="" textlink="">
      <xdr:nvSpPr>
        <xdr:cNvPr id="450" name="Callout: Double Bent Line with Border and Accent Bar 449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>
        <a:xfrm>
          <a:off x="11811000" y="9239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13</xdr:col>
      <xdr:colOff>266700</xdr:colOff>
      <xdr:row>4</xdr:row>
      <xdr:rowOff>114300</xdr:rowOff>
    </xdr:to>
    <xdr:sp macro="" textlink="">
      <xdr:nvSpPr>
        <xdr:cNvPr id="451" name="Callout: Double Bent Line with Border and Accent Bar 450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>
        <a:xfrm>
          <a:off x="11811000" y="11144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13</xdr:col>
      <xdr:colOff>266700</xdr:colOff>
      <xdr:row>5</xdr:row>
      <xdr:rowOff>114300</xdr:rowOff>
    </xdr:to>
    <xdr:sp macro="" textlink="">
      <xdr:nvSpPr>
        <xdr:cNvPr id="452" name="Callout: Double Bent Line with Border and Accent Bar 451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>
        <a:xfrm>
          <a:off x="11811000" y="13049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13</xdr:col>
      <xdr:colOff>266700</xdr:colOff>
      <xdr:row>6</xdr:row>
      <xdr:rowOff>114300</xdr:rowOff>
    </xdr:to>
    <xdr:sp macro="" textlink="">
      <xdr:nvSpPr>
        <xdr:cNvPr id="453" name="Callout: Double Bent Line with Border and Accent Bar 452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/>
      </xdr:nvSpPr>
      <xdr:spPr>
        <a:xfrm>
          <a:off x="11811000" y="14954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64</xdr:row>
      <xdr:rowOff>0</xdr:rowOff>
    </xdr:from>
    <xdr:to>
      <xdr:col>13</xdr:col>
      <xdr:colOff>266700</xdr:colOff>
      <xdr:row>64</xdr:row>
      <xdr:rowOff>114300</xdr:rowOff>
    </xdr:to>
    <xdr:sp macro="" textlink="">
      <xdr:nvSpPr>
        <xdr:cNvPr id="454" name="Callout: Double Bent Line with Border and Accent Bar 453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>
        <a:xfrm>
          <a:off x="11811000" y="12630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65</xdr:row>
      <xdr:rowOff>0</xdr:rowOff>
    </xdr:from>
    <xdr:to>
      <xdr:col>13</xdr:col>
      <xdr:colOff>266700</xdr:colOff>
      <xdr:row>65</xdr:row>
      <xdr:rowOff>114300</xdr:rowOff>
    </xdr:to>
    <xdr:sp macro="" textlink="">
      <xdr:nvSpPr>
        <xdr:cNvPr id="455" name="Callout: Double Bent Line with Border and Accent Bar 454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>
        <a:xfrm>
          <a:off x="11811000" y="12820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66</xdr:row>
      <xdr:rowOff>0</xdr:rowOff>
    </xdr:from>
    <xdr:to>
      <xdr:col>13</xdr:col>
      <xdr:colOff>266700</xdr:colOff>
      <xdr:row>66</xdr:row>
      <xdr:rowOff>114300</xdr:rowOff>
    </xdr:to>
    <xdr:sp macro="" textlink="">
      <xdr:nvSpPr>
        <xdr:cNvPr id="456" name="Callout: Double Bent Line with Border and Accent Bar 455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>
        <a:xfrm>
          <a:off x="11811000" y="13011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13</xdr:col>
      <xdr:colOff>266700</xdr:colOff>
      <xdr:row>7</xdr:row>
      <xdr:rowOff>114300</xdr:rowOff>
    </xdr:to>
    <xdr:sp macro="" textlink="">
      <xdr:nvSpPr>
        <xdr:cNvPr id="457" name="Callout: Double Bent Line with Border and Accent Bar 456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/>
      </xdr:nvSpPr>
      <xdr:spPr>
        <a:xfrm>
          <a:off x="11811000" y="174307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13</xdr:col>
      <xdr:colOff>266700</xdr:colOff>
      <xdr:row>8</xdr:row>
      <xdr:rowOff>114300</xdr:rowOff>
    </xdr:to>
    <xdr:sp macro="" textlink="">
      <xdr:nvSpPr>
        <xdr:cNvPr id="458" name="Callout: Double Bent Line with Border and Accent Bar 457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>
        <a:xfrm>
          <a:off x="11811000" y="193357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13</xdr:col>
      <xdr:colOff>266700</xdr:colOff>
      <xdr:row>9</xdr:row>
      <xdr:rowOff>114300</xdr:rowOff>
    </xdr:to>
    <xdr:sp macro="" textlink="">
      <xdr:nvSpPr>
        <xdr:cNvPr id="459" name="Callout: Double Bent Line with Border and Accent Bar 458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>
        <a:xfrm>
          <a:off x="11811000" y="212407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30</xdr:row>
      <xdr:rowOff>0</xdr:rowOff>
    </xdr:from>
    <xdr:to>
      <xdr:col>13</xdr:col>
      <xdr:colOff>266700</xdr:colOff>
      <xdr:row>30</xdr:row>
      <xdr:rowOff>114300</xdr:rowOff>
    </xdr:to>
    <xdr:sp macro="" textlink="">
      <xdr:nvSpPr>
        <xdr:cNvPr id="460" name="Callout: Double Bent Line with Border and Accent Bar 459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>
        <a:xfrm>
          <a:off x="11811000" y="6153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31</xdr:row>
      <xdr:rowOff>0</xdr:rowOff>
    </xdr:from>
    <xdr:to>
      <xdr:col>13</xdr:col>
      <xdr:colOff>266700</xdr:colOff>
      <xdr:row>31</xdr:row>
      <xdr:rowOff>114300</xdr:rowOff>
    </xdr:to>
    <xdr:sp macro="" textlink="">
      <xdr:nvSpPr>
        <xdr:cNvPr id="461" name="Callout: Double Bent Line with Border and Accent Bar 460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/>
      </xdr:nvSpPr>
      <xdr:spPr>
        <a:xfrm>
          <a:off x="11811000" y="6343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32</xdr:row>
      <xdr:rowOff>0</xdr:rowOff>
    </xdr:from>
    <xdr:to>
      <xdr:col>13</xdr:col>
      <xdr:colOff>266700</xdr:colOff>
      <xdr:row>32</xdr:row>
      <xdr:rowOff>114300</xdr:rowOff>
    </xdr:to>
    <xdr:sp macro="" textlink="">
      <xdr:nvSpPr>
        <xdr:cNvPr id="462" name="Callout: Double Bent Line with Border and Accent Bar 461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/>
      </xdr:nvSpPr>
      <xdr:spPr>
        <a:xfrm>
          <a:off x="11811000" y="6534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33</xdr:row>
      <xdr:rowOff>0</xdr:rowOff>
    </xdr:from>
    <xdr:to>
      <xdr:col>13</xdr:col>
      <xdr:colOff>266700</xdr:colOff>
      <xdr:row>33</xdr:row>
      <xdr:rowOff>114300</xdr:rowOff>
    </xdr:to>
    <xdr:sp macro="" textlink="">
      <xdr:nvSpPr>
        <xdr:cNvPr id="463" name="Callout: Double Bent Line with Border and Accent Bar 462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11811000" y="6724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34</xdr:row>
      <xdr:rowOff>0</xdr:rowOff>
    </xdr:from>
    <xdr:to>
      <xdr:col>13</xdr:col>
      <xdr:colOff>266700</xdr:colOff>
      <xdr:row>34</xdr:row>
      <xdr:rowOff>114300</xdr:rowOff>
    </xdr:to>
    <xdr:sp macro="" textlink="">
      <xdr:nvSpPr>
        <xdr:cNvPr id="464" name="Callout: Double Bent Line with Border and Accent Bar 463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>
        <a:xfrm>
          <a:off x="11811000" y="6915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35</xdr:row>
      <xdr:rowOff>0</xdr:rowOff>
    </xdr:from>
    <xdr:to>
      <xdr:col>13</xdr:col>
      <xdr:colOff>266700</xdr:colOff>
      <xdr:row>35</xdr:row>
      <xdr:rowOff>114300</xdr:rowOff>
    </xdr:to>
    <xdr:sp macro="" textlink="">
      <xdr:nvSpPr>
        <xdr:cNvPr id="465" name="Callout: Double Bent Line with Border and Accent Bar 464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/>
      </xdr:nvSpPr>
      <xdr:spPr>
        <a:xfrm>
          <a:off x="11811000" y="7105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36</xdr:row>
      <xdr:rowOff>0</xdr:rowOff>
    </xdr:from>
    <xdr:to>
      <xdr:col>13</xdr:col>
      <xdr:colOff>266700</xdr:colOff>
      <xdr:row>36</xdr:row>
      <xdr:rowOff>114300</xdr:rowOff>
    </xdr:to>
    <xdr:sp macro="" textlink="">
      <xdr:nvSpPr>
        <xdr:cNvPr id="466" name="Callout: Double Bent Line with Border and Accent Bar 465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/>
      </xdr:nvSpPr>
      <xdr:spPr>
        <a:xfrm>
          <a:off x="11811000" y="7296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37</xdr:row>
      <xdr:rowOff>0</xdr:rowOff>
    </xdr:from>
    <xdr:to>
      <xdr:col>13</xdr:col>
      <xdr:colOff>266700</xdr:colOff>
      <xdr:row>37</xdr:row>
      <xdr:rowOff>114300</xdr:rowOff>
    </xdr:to>
    <xdr:sp macro="" textlink="">
      <xdr:nvSpPr>
        <xdr:cNvPr id="467" name="Callout: Double Bent Line with Border and Accent Bar 466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>
        <a:xfrm>
          <a:off x="11811000" y="7486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38</xdr:row>
      <xdr:rowOff>0</xdr:rowOff>
    </xdr:from>
    <xdr:to>
      <xdr:col>13</xdr:col>
      <xdr:colOff>266700</xdr:colOff>
      <xdr:row>38</xdr:row>
      <xdr:rowOff>114300</xdr:rowOff>
    </xdr:to>
    <xdr:sp macro="" textlink="">
      <xdr:nvSpPr>
        <xdr:cNvPr id="468" name="Callout: Double Bent Line with Border and Accent Bar 467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>
        <a:xfrm>
          <a:off x="11811000" y="7677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28</xdr:row>
      <xdr:rowOff>0</xdr:rowOff>
    </xdr:from>
    <xdr:to>
      <xdr:col>13</xdr:col>
      <xdr:colOff>266700</xdr:colOff>
      <xdr:row>28</xdr:row>
      <xdr:rowOff>114300</xdr:rowOff>
    </xdr:to>
    <xdr:sp macro="" textlink="">
      <xdr:nvSpPr>
        <xdr:cNvPr id="469" name="Callout: Double Bent Line with Border and Accent Bar 468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/>
      </xdr:nvSpPr>
      <xdr:spPr>
        <a:xfrm>
          <a:off x="11811000" y="5772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266700</xdr:colOff>
      <xdr:row>29</xdr:row>
      <xdr:rowOff>114300</xdr:rowOff>
    </xdr:to>
    <xdr:sp macro="" textlink="">
      <xdr:nvSpPr>
        <xdr:cNvPr id="470" name="Callout: Double Bent Line with Border and Accent Bar 469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/>
      </xdr:nvSpPr>
      <xdr:spPr>
        <a:xfrm>
          <a:off x="11811000" y="5962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39</xdr:row>
      <xdr:rowOff>0</xdr:rowOff>
    </xdr:from>
    <xdr:to>
      <xdr:col>13</xdr:col>
      <xdr:colOff>266700</xdr:colOff>
      <xdr:row>39</xdr:row>
      <xdr:rowOff>114300</xdr:rowOff>
    </xdr:to>
    <xdr:sp macro="" textlink="">
      <xdr:nvSpPr>
        <xdr:cNvPr id="471" name="Callout: Double Bent Line with Border and Accent Bar 470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>
        <a:xfrm>
          <a:off x="11811000" y="7867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19</xdr:row>
      <xdr:rowOff>0</xdr:rowOff>
    </xdr:from>
    <xdr:to>
      <xdr:col>13</xdr:col>
      <xdr:colOff>266700</xdr:colOff>
      <xdr:row>19</xdr:row>
      <xdr:rowOff>114300</xdr:rowOff>
    </xdr:to>
    <xdr:sp macro="" textlink="">
      <xdr:nvSpPr>
        <xdr:cNvPr id="472" name="Callout: Double Bent Line with Border and Accent Bar 471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>
        <a:xfrm>
          <a:off x="11811000" y="4057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13</xdr:col>
      <xdr:colOff>266700</xdr:colOff>
      <xdr:row>20</xdr:row>
      <xdr:rowOff>114300</xdr:rowOff>
    </xdr:to>
    <xdr:sp macro="" textlink="">
      <xdr:nvSpPr>
        <xdr:cNvPr id="473" name="Callout: Double Bent Line with Border and Accent Bar 47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/>
      </xdr:nvSpPr>
      <xdr:spPr>
        <a:xfrm>
          <a:off x="11811000" y="4248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21</xdr:row>
      <xdr:rowOff>0</xdr:rowOff>
    </xdr:from>
    <xdr:to>
      <xdr:col>13</xdr:col>
      <xdr:colOff>266700</xdr:colOff>
      <xdr:row>21</xdr:row>
      <xdr:rowOff>114300</xdr:rowOff>
    </xdr:to>
    <xdr:sp macro="" textlink="">
      <xdr:nvSpPr>
        <xdr:cNvPr id="474" name="Callout: Double Bent Line with Border and Accent Bar 473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11811000" y="4438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24</xdr:row>
      <xdr:rowOff>0</xdr:rowOff>
    </xdr:from>
    <xdr:to>
      <xdr:col>13</xdr:col>
      <xdr:colOff>266700</xdr:colOff>
      <xdr:row>24</xdr:row>
      <xdr:rowOff>114300</xdr:rowOff>
    </xdr:to>
    <xdr:sp macro="" textlink="">
      <xdr:nvSpPr>
        <xdr:cNvPr id="475" name="Callout: Double Bent Line with Border and Accent Bar 474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>
        <a:xfrm>
          <a:off x="11811000" y="5010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25</xdr:row>
      <xdr:rowOff>0</xdr:rowOff>
    </xdr:from>
    <xdr:to>
      <xdr:col>13</xdr:col>
      <xdr:colOff>266700</xdr:colOff>
      <xdr:row>25</xdr:row>
      <xdr:rowOff>114300</xdr:rowOff>
    </xdr:to>
    <xdr:sp macro="" textlink="">
      <xdr:nvSpPr>
        <xdr:cNvPr id="476" name="Callout: Double Bent Line with Border and Accent Bar 475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>
        <a:xfrm>
          <a:off x="11811000" y="5200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27</xdr:row>
      <xdr:rowOff>0</xdr:rowOff>
    </xdr:from>
    <xdr:to>
      <xdr:col>13</xdr:col>
      <xdr:colOff>266700</xdr:colOff>
      <xdr:row>27</xdr:row>
      <xdr:rowOff>114300</xdr:rowOff>
    </xdr:to>
    <xdr:sp macro="" textlink="">
      <xdr:nvSpPr>
        <xdr:cNvPr id="477" name="Callout: Double Bent Line with Border and Accent Bar 476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/>
      </xdr:nvSpPr>
      <xdr:spPr>
        <a:xfrm>
          <a:off x="11811000" y="5581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266700</xdr:colOff>
      <xdr:row>40</xdr:row>
      <xdr:rowOff>114300</xdr:rowOff>
    </xdr:to>
    <xdr:sp macro="" textlink="">
      <xdr:nvSpPr>
        <xdr:cNvPr id="478" name="Callout: Double Bent Line with Border and Accent Bar 477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/>
      </xdr:nvSpPr>
      <xdr:spPr>
        <a:xfrm>
          <a:off x="11811000" y="8058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41</xdr:row>
      <xdr:rowOff>0</xdr:rowOff>
    </xdr:from>
    <xdr:to>
      <xdr:col>13</xdr:col>
      <xdr:colOff>266700</xdr:colOff>
      <xdr:row>41</xdr:row>
      <xdr:rowOff>114300</xdr:rowOff>
    </xdr:to>
    <xdr:sp macro="" textlink="">
      <xdr:nvSpPr>
        <xdr:cNvPr id="479" name="Callout: Double Bent Line with Border and Accent Bar 478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>
        <a:xfrm>
          <a:off x="11811000" y="8248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42</xdr:row>
      <xdr:rowOff>0</xdr:rowOff>
    </xdr:from>
    <xdr:to>
      <xdr:col>13</xdr:col>
      <xdr:colOff>266700</xdr:colOff>
      <xdr:row>42</xdr:row>
      <xdr:rowOff>114300</xdr:rowOff>
    </xdr:to>
    <xdr:sp macro="" textlink="">
      <xdr:nvSpPr>
        <xdr:cNvPr id="480" name="Callout: Double Bent Line with Border and Accent Bar 479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>
        <a:xfrm>
          <a:off x="11811000" y="8439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43</xdr:row>
      <xdr:rowOff>0</xdr:rowOff>
    </xdr:from>
    <xdr:to>
      <xdr:col>13</xdr:col>
      <xdr:colOff>266700</xdr:colOff>
      <xdr:row>43</xdr:row>
      <xdr:rowOff>114300</xdr:rowOff>
    </xdr:to>
    <xdr:sp macro="" textlink="">
      <xdr:nvSpPr>
        <xdr:cNvPr id="481" name="Callout: Double Bent Line with Border and Accent Bar 480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/>
      </xdr:nvSpPr>
      <xdr:spPr>
        <a:xfrm>
          <a:off x="11811000" y="8629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69</xdr:row>
      <xdr:rowOff>0</xdr:rowOff>
    </xdr:from>
    <xdr:to>
      <xdr:col>13</xdr:col>
      <xdr:colOff>266700</xdr:colOff>
      <xdr:row>69</xdr:row>
      <xdr:rowOff>114300</xdr:rowOff>
    </xdr:to>
    <xdr:sp macro="" textlink="">
      <xdr:nvSpPr>
        <xdr:cNvPr id="482" name="Callout: Double Bent Line with Border and Accent Bar 481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/>
      </xdr:nvSpPr>
      <xdr:spPr>
        <a:xfrm>
          <a:off x="11811000" y="13582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70</xdr:row>
      <xdr:rowOff>0</xdr:rowOff>
    </xdr:from>
    <xdr:to>
      <xdr:col>13</xdr:col>
      <xdr:colOff>266700</xdr:colOff>
      <xdr:row>70</xdr:row>
      <xdr:rowOff>114300</xdr:rowOff>
    </xdr:to>
    <xdr:sp macro="" textlink="">
      <xdr:nvSpPr>
        <xdr:cNvPr id="483" name="Callout: Double Bent Line with Border and Accent Bar 482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>
        <a:xfrm>
          <a:off x="11811000" y="13773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71</xdr:row>
      <xdr:rowOff>0</xdr:rowOff>
    </xdr:from>
    <xdr:to>
      <xdr:col>13</xdr:col>
      <xdr:colOff>266700</xdr:colOff>
      <xdr:row>71</xdr:row>
      <xdr:rowOff>114300</xdr:rowOff>
    </xdr:to>
    <xdr:sp macro="" textlink="">
      <xdr:nvSpPr>
        <xdr:cNvPr id="484" name="Callout: Double Bent Line with Border and Accent Bar 483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>
        <a:xfrm>
          <a:off x="11811000" y="13963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72</xdr:row>
      <xdr:rowOff>0</xdr:rowOff>
    </xdr:from>
    <xdr:to>
      <xdr:col>13</xdr:col>
      <xdr:colOff>266700</xdr:colOff>
      <xdr:row>72</xdr:row>
      <xdr:rowOff>114300</xdr:rowOff>
    </xdr:to>
    <xdr:sp macro="" textlink="">
      <xdr:nvSpPr>
        <xdr:cNvPr id="485" name="Callout: Double Bent Line with Border and Accent Bar 484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/>
      </xdr:nvSpPr>
      <xdr:spPr>
        <a:xfrm>
          <a:off x="11811000" y="14154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74</xdr:row>
      <xdr:rowOff>0</xdr:rowOff>
    </xdr:from>
    <xdr:to>
      <xdr:col>13</xdr:col>
      <xdr:colOff>266700</xdr:colOff>
      <xdr:row>74</xdr:row>
      <xdr:rowOff>114300</xdr:rowOff>
    </xdr:to>
    <xdr:sp macro="" textlink="">
      <xdr:nvSpPr>
        <xdr:cNvPr id="486" name="Callout: Double Bent Line with Border and Accent Bar 485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/>
      </xdr:nvSpPr>
      <xdr:spPr>
        <a:xfrm>
          <a:off x="11811000" y="14535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75</xdr:row>
      <xdr:rowOff>0</xdr:rowOff>
    </xdr:from>
    <xdr:to>
      <xdr:col>13</xdr:col>
      <xdr:colOff>266700</xdr:colOff>
      <xdr:row>75</xdr:row>
      <xdr:rowOff>114300</xdr:rowOff>
    </xdr:to>
    <xdr:sp macro="" textlink="">
      <xdr:nvSpPr>
        <xdr:cNvPr id="487" name="Callout: Double Bent Line with Border and Accent Bar 486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>
        <a:xfrm>
          <a:off x="11811000" y="14725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77</xdr:row>
      <xdr:rowOff>0</xdr:rowOff>
    </xdr:from>
    <xdr:to>
      <xdr:col>13</xdr:col>
      <xdr:colOff>266700</xdr:colOff>
      <xdr:row>77</xdr:row>
      <xdr:rowOff>114300</xdr:rowOff>
    </xdr:to>
    <xdr:sp macro="" textlink="">
      <xdr:nvSpPr>
        <xdr:cNvPr id="488" name="Callout: Double Bent Line with Border and Accent Bar 487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>
        <a:xfrm>
          <a:off x="11811000" y="15106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78</xdr:row>
      <xdr:rowOff>0</xdr:rowOff>
    </xdr:from>
    <xdr:to>
      <xdr:col>13</xdr:col>
      <xdr:colOff>266700</xdr:colOff>
      <xdr:row>78</xdr:row>
      <xdr:rowOff>114300</xdr:rowOff>
    </xdr:to>
    <xdr:sp macro="" textlink="">
      <xdr:nvSpPr>
        <xdr:cNvPr id="489" name="Callout: Double Bent Line with Border and Accent Bar 488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/>
      </xdr:nvSpPr>
      <xdr:spPr>
        <a:xfrm>
          <a:off x="11811000" y="15297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79</xdr:row>
      <xdr:rowOff>0</xdr:rowOff>
    </xdr:from>
    <xdr:to>
      <xdr:col>13</xdr:col>
      <xdr:colOff>266700</xdr:colOff>
      <xdr:row>79</xdr:row>
      <xdr:rowOff>114300</xdr:rowOff>
    </xdr:to>
    <xdr:sp macro="" textlink="">
      <xdr:nvSpPr>
        <xdr:cNvPr id="490" name="Callout: Double Bent Line with Border and Accent Bar 489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/>
      </xdr:nvSpPr>
      <xdr:spPr>
        <a:xfrm>
          <a:off x="11811000" y="15487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81</xdr:row>
      <xdr:rowOff>0</xdr:rowOff>
    </xdr:from>
    <xdr:to>
      <xdr:col>13</xdr:col>
      <xdr:colOff>266700</xdr:colOff>
      <xdr:row>81</xdr:row>
      <xdr:rowOff>114300</xdr:rowOff>
    </xdr:to>
    <xdr:sp macro="" textlink="">
      <xdr:nvSpPr>
        <xdr:cNvPr id="491" name="Callout: Double Bent Line with Border and Accent Bar 490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>
        <a:xfrm>
          <a:off x="11811000" y="15868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87</xdr:row>
      <xdr:rowOff>0</xdr:rowOff>
    </xdr:from>
    <xdr:to>
      <xdr:col>14</xdr:col>
      <xdr:colOff>304800</xdr:colOff>
      <xdr:row>87</xdr:row>
      <xdr:rowOff>127000</xdr:rowOff>
    </xdr:to>
    <xdr:sp macro="[1]!CalloutLine1_Click" textlink="">
      <xdr:nvSpPr>
        <xdr:cNvPr id="492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>
          <a:spLocks/>
        </xdr:cNvSpPr>
      </xdr:nvSpPr>
      <xdr:spPr bwMode="auto">
        <a:xfrm>
          <a:off x="12553950" y="17011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87</xdr:row>
      <xdr:rowOff>0</xdr:rowOff>
    </xdr:from>
    <xdr:to>
      <xdr:col>13</xdr:col>
      <xdr:colOff>266700</xdr:colOff>
      <xdr:row>87</xdr:row>
      <xdr:rowOff>114300</xdr:rowOff>
    </xdr:to>
    <xdr:sp macro="" textlink="">
      <xdr:nvSpPr>
        <xdr:cNvPr id="493" name="Callout: Double Bent Line with Border and Accent Bar 492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/>
      </xdr:nvSpPr>
      <xdr:spPr>
        <a:xfrm>
          <a:off x="11811000" y="17011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88</xdr:row>
      <xdr:rowOff>0</xdr:rowOff>
    </xdr:from>
    <xdr:to>
      <xdr:col>14</xdr:col>
      <xdr:colOff>304800</xdr:colOff>
      <xdr:row>88</xdr:row>
      <xdr:rowOff>127000</xdr:rowOff>
    </xdr:to>
    <xdr:sp macro="[1]!CalloutLine1_Click" textlink="">
      <xdr:nvSpPr>
        <xdr:cNvPr id="494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>
          <a:spLocks/>
        </xdr:cNvSpPr>
      </xdr:nvSpPr>
      <xdr:spPr bwMode="auto">
        <a:xfrm>
          <a:off x="12553950" y="172021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88</xdr:row>
      <xdr:rowOff>0</xdr:rowOff>
    </xdr:from>
    <xdr:to>
      <xdr:col>13</xdr:col>
      <xdr:colOff>266700</xdr:colOff>
      <xdr:row>88</xdr:row>
      <xdr:rowOff>114300</xdr:rowOff>
    </xdr:to>
    <xdr:sp macro="" textlink="">
      <xdr:nvSpPr>
        <xdr:cNvPr id="495" name="Callout: Double Bent Line with Border and Accent Bar 494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>
        <a:xfrm>
          <a:off x="11811000" y="172021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89</xdr:row>
      <xdr:rowOff>0</xdr:rowOff>
    </xdr:from>
    <xdr:to>
      <xdr:col>14</xdr:col>
      <xdr:colOff>304800</xdr:colOff>
      <xdr:row>89</xdr:row>
      <xdr:rowOff>127000</xdr:rowOff>
    </xdr:to>
    <xdr:sp macro="[1]!CalloutLine1_Click" textlink="">
      <xdr:nvSpPr>
        <xdr:cNvPr id="496" name="Callout: Line 73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>
          <a:spLocks/>
        </xdr:cNvSpPr>
      </xdr:nvSpPr>
      <xdr:spPr bwMode="auto">
        <a:xfrm>
          <a:off x="12553950" y="173926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89</xdr:row>
      <xdr:rowOff>0</xdr:rowOff>
    </xdr:from>
    <xdr:to>
      <xdr:col>13</xdr:col>
      <xdr:colOff>266700</xdr:colOff>
      <xdr:row>89</xdr:row>
      <xdr:rowOff>114300</xdr:rowOff>
    </xdr:to>
    <xdr:sp macro="" textlink="">
      <xdr:nvSpPr>
        <xdr:cNvPr id="497" name="Callout: Double Bent Line with Border and Accent Bar 496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/>
      </xdr:nvSpPr>
      <xdr:spPr>
        <a:xfrm>
          <a:off x="11811000" y="1739265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499" name="Callout: Double Bent Line with Border and Accent Bar 498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>
        <a:xfrm>
          <a:off x="15420474" y="275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25400</xdr:rowOff>
    </xdr:from>
    <xdr:to>
      <xdr:col>40</xdr:col>
      <xdr:colOff>304800</xdr:colOff>
      <xdr:row>1</xdr:row>
      <xdr:rowOff>152400</xdr:rowOff>
    </xdr:to>
    <xdr:sp macro="[1]!CalloutLine1_Click" textlink="">
      <xdr:nvSpPr>
        <xdr:cNvPr id="500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>
          <a:spLocks/>
        </xdr:cNvSpPr>
      </xdr:nvSpPr>
      <xdr:spPr bwMode="auto">
        <a:xfrm>
          <a:off x="16092237" y="27826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501" name="Callout: Double Bent Line with Border and Accent Bar 500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/>
      </xdr:nvSpPr>
      <xdr:spPr>
        <a:xfrm>
          <a:off x="15420474" y="5283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502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>
          <a:spLocks/>
        </xdr:cNvSpPr>
      </xdr:nvSpPr>
      <xdr:spPr bwMode="auto">
        <a:xfrm>
          <a:off x="16092237" y="5283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503" name="Callout: Double Bent Line with Border and Accent Bar 50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>
        <a:xfrm>
          <a:off x="15420474" y="5494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504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>
          <a:spLocks/>
        </xdr:cNvSpPr>
      </xdr:nvSpPr>
      <xdr:spPr bwMode="auto">
        <a:xfrm>
          <a:off x="16092237" y="5494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505" name="Callout: Double Bent Line with Border and Accent Bar 504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/>
      </xdr:nvSpPr>
      <xdr:spPr>
        <a:xfrm>
          <a:off x="15420474" y="13705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506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>
          <a:spLocks/>
        </xdr:cNvSpPr>
      </xdr:nvSpPr>
      <xdr:spPr bwMode="auto">
        <a:xfrm>
          <a:off x="16092237" y="13705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513" name="Callout: Double Bent Line with Border and Accent Bar 51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/>
      </xdr:nvSpPr>
      <xdr:spPr>
        <a:xfrm>
          <a:off x="15420474" y="18969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514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>
          <a:spLocks/>
        </xdr:cNvSpPr>
      </xdr:nvSpPr>
      <xdr:spPr bwMode="auto">
        <a:xfrm>
          <a:off x="16092237" y="18969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515" name="Callout: Double Bent Line with Border and Accent Bar 514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>
        <a:xfrm>
          <a:off x="15420474" y="19180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516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>
          <a:spLocks/>
        </xdr:cNvSpPr>
      </xdr:nvSpPr>
      <xdr:spPr bwMode="auto">
        <a:xfrm>
          <a:off x="16092237" y="19180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517" name="Callout: Double Bent Line with Border and Accent Bar 516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/>
      </xdr:nvSpPr>
      <xdr:spPr>
        <a:xfrm>
          <a:off x="15420474" y="19390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518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>
          <a:spLocks/>
        </xdr:cNvSpPr>
      </xdr:nvSpPr>
      <xdr:spPr bwMode="auto">
        <a:xfrm>
          <a:off x="16092237" y="19390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519" name="Callout: Double Bent Line with Border and Accent Bar 518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>
        <a:xfrm>
          <a:off x="15420474" y="196014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520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>
          <a:spLocks/>
        </xdr:cNvSpPr>
      </xdr:nvSpPr>
      <xdr:spPr bwMode="auto">
        <a:xfrm>
          <a:off x="16092237" y="196014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21558</xdr:colOff>
      <xdr:row>3</xdr:row>
      <xdr:rowOff>48127</xdr:rowOff>
    </xdr:from>
    <xdr:to>
      <xdr:col>39</xdr:col>
      <xdr:colOff>240632</xdr:colOff>
      <xdr:row>3</xdr:row>
      <xdr:rowOff>160421</xdr:rowOff>
    </xdr:to>
    <xdr:sp macro="" textlink="">
      <xdr:nvSpPr>
        <xdr:cNvPr id="521" name="Callout: Double Bent Line with Border and Accent Bar 52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/>
      </xdr:nvSpPr>
      <xdr:spPr>
        <a:xfrm>
          <a:off x="15442032" y="2173706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25400</xdr:rowOff>
    </xdr:from>
    <xdr:to>
      <xdr:col>40</xdr:col>
      <xdr:colOff>304800</xdr:colOff>
      <xdr:row>3</xdr:row>
      <xdr:rowOff>152400</xdr:rowOff>
    </xdr:to>
    <xdr:sp macro="[1]!CalloutLine1_Click" textlink="">
      <xdr:nvSpPr>
        <xdr:cNvPr id="522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>
          <a:spLocks/>
        </xdr:cNvSpPr>
      </xdr:nvSpPr>
      <xdr:spPr bwMode="auto">
        <a:xfrm>
          <a:off x="16092237" y="2150979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523" name="Callout: Double Bent Line with Border and Accent Bar 522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>
        <a:xfrm>
          <a:off x="15420474" y="2336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21558</xdr:colOff>
      <xdr:row>3</xdr:row>
      <xdr:rowOff>48127</xdr:rowOff>
    </xdr:from>
    <xdr:to>
      <xdr:col>39</xdr:col>
      <xdr:colOff>240632</xdr:colOff>
      <xdr:row>3</xdr:row>
      <xdr:rowOff>160421</xdr:rowOff>
    </xdr:to>
    <xdr:sp macro="" textlink="">
      <xdr:nvSpPr>
        <xdr:cNvPr id="629" name="Callout: Double Bent Line with Border and Accent Bar 628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SpPr/>
      </xdr:nvSpPr>
      <xdr:spPr>
        <a:xfrm>
          <a:off x="15442032" y="2173706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25400</xdr:rowOff>
    </xdr:from>
    <xdr:to>
      <xdr:col>40</xdr:col>
      <xdr:colOff>304800</xdr:colOff>
      <xdr:row>3</xdr:row>
      <xdr:rowOff>152400</xdr:rowOff>
    </xdr:to>
    <xdr:sp macro="[1]!CalloutLine1_Click" textlink="">
      <xdr:nvSpPr>
        <xdr:cNvPr id="630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SpPr>
          <a:spLocks/>
        </xdr:cNvSpPr>
      </xdr:nvSpPr>
      <xdr:spPr bwMode="auto">
        <a:xfrm>
          <a:off x="16092237" y="2150979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631" name="Callout: Double Bent Line with Border and Accent Bar 630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SpPr/>
      </xdr:nvSpPr>
      <xdr:spPr>
        <a:xfrm>
          <a:off x="15420474" y="2336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737" name="Callout: Double Bent Line with Border and Accent Bar 73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SpPr/>
      </xdr:nvSpPr>
      <xdr:spPr>
        <a:xfrm>
          <a:off x="15420474" y="15179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738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E2020000}"/>
            </a:ext>
          </a:extLst>
        </xdr:cNvPr>
        <xdr:cNvSpPr>
          <a:spLocks/>
        </xdr:cNvSpPr>
      </xdr:nvSpPr>
      <xdr:spPr bwMode="auto">
        <a:xfrm>
          <a:off x="16092237" y="15179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739" name="Callout: Double Bent Line with Border and Accent Bar 73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SpPr/>
      </xdr:nvSpPr>
      <xdr:spPr>
        <a:xfrm>
          <a:off x="15420474" y="15390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740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E4020000}"/>
            </a:ext>
          </a:extLst>
        </xdr:cNvPr>
        <xdr:cNvSpPr>
          <a:spLocks/>
        </xdr:cNvSpPr>
      </xdr:nvSpPr>
      <xdr:spPr bwMode="auto">
        <a:xfrm>
          <a:off x="16092237" y="15390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741" name="Callout: Double Bent Line with Border and Accent Bar 740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SpPr/>
      </xdr:nvSpPr>
      <xdr:spPr>
        <a:xfrm>
          <a:off x="15420474" y="15600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742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E6020000}"/>
            </a:ext>
          </a:extLst>
        </xdr:cNvPr>
        <xdr:cNvSpPr>
          <a:spLocks/>
        </xdr:cNvSpPr>
      </xdr:nvSpPr>
      <xdr:spPr bwMode="auto">
        <a:xfrm>
          <a:off x="16092237" y="156009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743" name="Callout: Double Bent Line with Border and Accent Bar 742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SpPr/>
      </xdr:nvSpPr>
      <xdr:spPr>
        <a:xfrm>
          <a:off x="15420474" y="15811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744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E8020000}"/>
            </a:ext>
          </a:extLst>
        </xdr:cNvPr>
        <xdr:cNvSpPr>
          <a:spLocks/>
        </xdr:cNvSpPr>
      </xdr:nvSpPr>
      <xdr:spPr bwMode="auto">
        <a:xfrm>
          <a:off x="16092237" y="15811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745" name="Callout: Double Bent Line with Border and Accent Bar 744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SpPr/>
      </xdr:nvSpPr>
      <xdr:spPr>
        <a:xfrm>
          <a:off x="13254789" y="179170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746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EA020000}"/>
            </a:ext>
          </a:extLst>
        </xdr:cNvPr>
        <xdr:cNvSpPr>
          <a:spLocks/>
        </xdr:cNvSpPr>
      </xdr:nvSpPr>
      <xdr:spPr bwMode="auto">
        <a:xfrm>
          <a:off x="13926553" y="179170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747" name="Callout: Double Bent Line with Border and Accent Bar 746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SpPr/>
      </xdr:nvSpPr>
      <xdr:spPr>
        <a:xfrm>
          <a:off x="13254789" y="181275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748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EC020000}"/>
            </a:ext>
          </a:extLst>
        </xdr:cNvPr>
        <xdr:cNvSpPr>
          <a:spLocks/>
        </xdr:cNvSpPr>
      </xdr:nvSpPr>
      <xdr:spPr bwMode="auto">
        <a:xfrm>
          <a:off x="13926553" y="181275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749" name="Callout: Double Bent Line with Border and Accent Bar 748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ED020000}"/>
            </a:ext>
          </a:extLst>
        </xdr:cNvPr>
        <xdr:cNvSpPr/>
      </xdr:nvSpPr>
      <xdr:spPr>
        <a:xfrm>
          <a:off x="13254789" y="18338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750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EE020000}"/>
            </a:ext>
          </a:extLst>
        </xdr:cNvPr>
        <xdr:cNvSpPr>
          <a:spLocks/>
        </xdr:cNvSpPr>
      </xdr:nvSpPr>
      <xdr:spPr bwMode="auto">
        <a:xfrm>
          <a:off x="13926553" y="183381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751" name="Callout: Double Bent Line with Border and Accent Bar 750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13254789" y="18548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752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>
          <a:spLocks/>
        </xdr:cNvSpPr>
      </xdr:nvSpPr>
      <xdr:spPr bwMode="auto">
        <a:xfrm>
          <a:off x="13926553" y="185486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753" name="Callout: Double Bent Line with Border and Accent Bar 752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13254789" y="18759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754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>
          <a:spLocks/>
        </xdr:cNvSpPr>
      </xdr:nvSpPr>
      <xdr:spPr bwMode="auto">
        <a:xfrm>
          <a:off x="13926553" y="18759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755" name="Callout: Double Bent Line with Border and Accent Bar 754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>
        <a:xfrm>
          <a:off x="13254789" y="18969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756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F4020000}"/>
            </a:ext>
          </a:extLst>
        </xdr:cNvPr>
        <xdr:cNvSpPr>
          <a:spLocks/>
        </xdr:cNvSpPr>
      </xdr:nvSpPr>
      <xdr:spPr bwMode="auto">
        <a:xfrm>
          <a:off x="13926553" y="18969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757" name="Callout: Double Bent Line with Border and Accent Bar 756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F5020000}"/>
            </a:ext>
          </a:extLst>
        </xdr:cNvPr>
        <xdr:cNvSpPr/>
      </xdr:nvSpPr>
      <xdr:spPr>
        <a:xfrm>
          <a:off x="13254789" y="19180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758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F6020000}"/>
            </a:ext>
          </a:extLst>
        </xdr:cNvPr>
        <xdr:cNvSpPr>
          <a:spLocks/>
        </xdr:cNvSpPr>
      </xdr:nvSpPr>
      <xdr:spPr bwMode="auto">
        <a:xfrm>
          <a:off x="13926553" y="19180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759" name="Callout: Double Bent Line with Border and Accent Bar 75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F7020000}"/>
            </a:ext>
          </a:extLst>
        </xdr:cNvPr>
        <xdr:cNvSpPr/>
      </xdr:nvSpPr>
      <xdr:spPr>
        <a:xfrm>
          <a:off x="13254789" y="19390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760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F8020000}"/>
            </a:ext>
          </a:extLst>
        </xdr:cNvPr>
        <xdr:cNvSpPr>
          <a:spLocks/>
        </xdr:cNvSpPr>
      </xdr:nvSpPr>
      <xdr:spPr bwMode="auto">
        <a:xfrm>
          <a:off x="13926553" y="19390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761" name="Callout: Double Bent Line with Border and Accent Bar 760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F9020000}"/>
            </a:ext>
          </a:extLst>
        </xdr:cNvPr>
        <xdr:cNvSpPr/>
      </xdr:nvSpPr>
      <xdr:spPr>
        <a:xfrm>
          <a:off x="13254789" y="196014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762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FA020000}"/>
            </a:ext>
          </a:extLst>
        </xdr:cNvPr>
        <xdr:cNvSpPr>
          <a:spLocks/>
        </xdr:cNvSpPr>
      </xdr:nvSpPr>
      <xdr:spPr bwMode="auto">
        <a:xfrm>
          <a:off x="13926553" y="196014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763" name="Callout: Double Bent Line with Border and Accent Bar 762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FB020000}"/>
            </a:ext>
          </a:extLst>
        </xdr:cNvPr>
        <xdr:cNvSpPr/>
      </xdr:nvSpPr>
      <xdr:spPr>
        <a:xfrm>
          <a:off x="13254789" y="198120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764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FC020000}"/>
            </a:ext>
          </a:extLst>
        </xdr:cNvPr>
        <xdr:cNvSpPr>
          <a:spLocks/>
        </xdr:cNvSpPr>
      </xdr:nvSpPr>
      <xdr:spPr bwMode="auto">
        <a:xfrm>
          <a:off x="13926553" y="198120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765" name="Callout: Double Bent Line with Border and Accent Bar 764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FD020000}"/>
            </a:ext>
          </a:extLst>
        </xdr:cNvPr>
        <xdr:cNvSpPr/>
      </xdr:nvSpPr>
      <xdr:spPr>
        <a:xfrm>
          <a:off x="13254789" y="200225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766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FE020000}"/>
            </a:ext>
          </a:extLst>
        </xdr:cNvPr>
        <xdr:cNvSpPr>
          <a:spLocks/>
        </xdr:cNvSpPr>
      </xdr:nvSpPr>
      <xdr:spPr bwMode="auto">
        <a:xfrm>
          <a:off x="13926553" y="200225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767" name="Callout: Double Bent Line with Border and Accent Bar 766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FF020000}"/>
            </a:ext>
          </a:extLst>
        </xdr:cNvPr>
        <xdr:cNvSpPr/>
      </xdr:nvSpPr>
      <xdr:spPr>
        <a:xfrm>
          <a:off x="13254789" y="202331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768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00030000}"/>
            </a:ext>
          </a:extLst>
        </xdr:cNvPr>
        <xdr:cNvSpPr>
          <a:spLocks/>
        </xdr:cNvSpPr>
      </xdr:nvSpPr>
      <xdr:spPr bwMode="auto">
        <a:xfrm>
          <a:off x="13926553" y="202331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769" name="Callout: Double Bent Line with Border and Accent Bar 768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01030000}"/>
            </a:ext>
          </a:extLst>
        </xdr:cNvPr>
        <xdr:cNvSpPr/>
      </xdr:nvSpPr>
      <xdr:spPr>
        <a:xfrm>
          <a:off x="13254789" y="204436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770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02030000}"/>
            </a:ext>
          </a:extLst>
        </xdr:cNvPr>
        <xdr:cNvSpPr>
          <a:spLocks/>
        </xdr:cNvSpPr>
      </xdr:nvSpPr>
      <xdr:spPr bwMode="auto">
        <a:xfrm>
          <a:off x="13926553" y="204436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771" name="Callout: Double Bent Line with Border and Accent Bar 770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03030000}"/>
            </a:ext>
          </a:extLst>
        </xdr:cNvPr>
        <xdr:cNvSpPr/>
      </xdr:nvSpPr>
      <xdr:spPr>
        <a:xfrm>
          <a:off x="13254789" y="206542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772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04030000}"/>
            </a:ext>
          </a:extLst>
        </xdr:cNvPr>
        <xdr:cNvSpPr>
          <a:spLocks/>
        </xdr:cNvSpPr>
      </xdr:nvSpPr>
      <xdr:spPr bwMode="auto">
        <a:xfrm>
          <a:off x="13926553" y="206542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773" name="Callout: Double Bent Line with Border and Accent Bar 772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05030000}"/>
            </a:ext>
          </a:extLst>
        </xdr:cNvPr>
        <xdr:cNvSpPr/>
      </xdr:nvSpPr>
      <xdr:spPr>
        <a:xfrm>
          <a:off x="13254789" y="208647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774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06030000}"/>
            </a:ext>
          </a:extLst>
        </xdr:cNvPr>
        <xdr:cNvSpPr>
          <a:spLocks/>
        </xdr:cNvSpPr>
      </xdr:nvSpPr>
      <xdr:spPr bwMode="auto">
        <a:xfrm>
          <a:off x="13926553" y="208647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775" name="Callout: Double Bent Line with Border and Accent Bar 774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07030000}"/>
            </a:ext>
          </a:extLst>
        </xdr:cNvPr>
        <xdr:cNvSpPr/>
      </xdr:nvSpPr>
      <xdr:spPr>
        <a:xfrm>
          <a:off x="13254789" y="21075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776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08030000}"/>
            </a:ext>
          </a:extLst>
        </xdr:cNvPr>
        <xdr:cNvSpPr>
          <a:spLocks/>
        </xdr:cNvSpPr>
      </xdr:nvSpPr>
      <xdr:spPr bwMode="auto">
        <a:xfrm>
          <a:off x="13926553" y="21075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777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30000}"/>
            </a:ext>
          </a:extLst>
        </xdr:cNvPr>
        <xdr:cNvSpPr>
          <a:spLocks/>
        </xdr:cNvSpPr>
      </xdr:nvSpPr>
      <xdr:spPr bwMode="auto">
        <a:xfrm>
          <a:off x="13926553" y="1557421"/>
          <a:ext cx="304800" cy="147053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21558</xdr:colOff>
      <xdr:row>3</xdr:row>
      <xdr:rowOff>48127</xdr:rowOff>
    </xdr:from>
    <xdr:to>
      <xdr:col>39</xdr:col>
      <xdr:colOff>240632</xdr:colOff>
      <xdr:row>3</xdr:row>
      <xdr:rowOff>160421</xdr:rowOff>
    </xdr:to>
    <xdr:sp macro="" textlink="">
      <xdr:nvSpPr>
        <xdr:cNvPr id="778" name="Callout: Double Bent Line with Border and Accent Bar 777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0A030000}"/>
            </a:ext>
          </a:extLst>
        </xdr:cNvPr>
        <xdr:cNvSpPr/>
      </xdr:nvSpPr>
      <xdr:spPr>
        <a:xfrm>
          <a:off x="13276347" y="2173706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25400</xdr:rowOff>
    </xdr:from>
    <xdr:to>
      <xdr:col>40</xdr:col>
      <xdr:colOff>304800</xdr:colOff>
      <xdr:row>3</xdr:row>
      <xdr:rowOff>152400</xdr:rowOff>
    </xdr:to>
    <xdr:sp macro="[1]!CalloutLine1_Click" textlink="">
      <xdr:nvSpPr>
        <xdr:cNvPr id="779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B030000}"/>
            </a:ext>
          </a:extLst>
        </xdr:cNvPr>
        <xdr:cNvSpPr>
          <a:spLocks/>
        </xdr:cNvSpPr>
      </xdr:nvSpPr>
      <xdr:spPr bwMode="auto">
        <a:xfrm>
          <a:off x="13926553" y="2150979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780" name="Callout: Double Bent Line with Border and Accent Bar 77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0C030000}"/>
            </a:ext>
          </a:extLst>
        </xdr:cNvPr>
        <xdr:cNvSpPr/>
      </xdr:nvSpPr>
      <xdr:spPr>
        <a:xfrm>
          <a:off x="13254789" y="2336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781" name="Callout: Double Bent Line with Border and Accent Bar 780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0D030000}"/>
            </a:ext>
          </a:extLst>
        </xdr:cNvPr>
        <xdr:cNvSpPr/>
      </xdr:nvSpPr>
      <xdr:spPr>
        <a:xfrm>
          <a:off x="13254789" y="2546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5</xdr:row>
      <xdr:rowOff>25400</xdr:rowOff>
    </xdr:from>
    <xdr:to>
      <xdr:col>40</xdr:col>
      <xdr:colOff>317500</xdr:colOff>
      <xdr:row>5</xdr:row>
      <xdr:rowOff>152400</xdr:rowOff>
    </xdr:to>
    <xdr:sp macro="[1]!CalloutLine1_Click" textlink="">
      <xdr:nvSpPr>
        <xdr:cNvPr id="782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E030000}"/>
            </a:ext>
          </a:extLst>
        </xdr:cNvPr>
        <xdr:cNvSpPr>
          <a:spLocks/>
        </xdr:cNvSpPr>
      </xdr:nvSpPr>
      <xdr:spPr bwMode="auto">
        <a:xfrm>
          <a:off x="13939253" y="25720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783" name="Callout: Double Bent Line with Border and Accent Bar 782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0F030000}"/>
            </a:ext>
          </a:extLst>
        </xdr:cNvPr>
        <xdr:cNvSpPr/>
      </xdr:nvSpPr>
      <xdr:spPr>
        <a:xfrm>
          <a:off x="13254789" y="275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6</xdr:row>
      <xdr:rowOff>25400</xdr:rowOff>
    </xdr:from>
    <xdr:to>
      <xdr:col>40</xdr:col>
      <xdr:colOff>317500</xdr:colOff>
      <xdr:row>6</xdr:row>
      <xdr:rowOff>152400</xdr:rowOff>
    </xdr:to>
    <xdr:sp macro="[1]!CalloutLine1_Click" textlink="">
      <xdr:nvSpPr>
        <xdr:cNvPr id="784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0030000}"/>
            </a:ext>
          </a:extLst>
        </xdr:cNvPr>
        <xdr:cNvSpPr>
          <a:spLocks/>
        </xdr:cNvSpPr>
      </xdr:nvSpPr>
      <xdr:spPr bwMode="auto">
        <a:xfrm>
          <a:off x="13939253" y="27826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785" name="Callout: Double Bent Line with Border and Accent Bar 784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11030000}"/>
            </a:ext>
          </a:extLst>
        </xdr:cNvPr>
        <xdr:cNvSpPr/>
      </xdr:nvSpPr>
      <xdr:spPr>
        <a:xfrm>
          <a:off x="13254789" y="296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393700</xdr:colOff>
      <xdr:row>7</xdr:row>
      <xdr:rowOff>38100</xdr:rowOff>
    </xdr:from>
    <xdr:to>
      <xdr:col>40</xdr:col>
      <xdr:colOff>647700</xdr:colOff>
      <xdr:row>7</xdr:row>
      <xdr:rowOff>152400</xdr:rowOff>
    </xdr:to>
    <xdr:sp macro="[1]!CalloutLine1_Click" textlink="">
      <xdr:nvSpPr>
        <xdr:cNvPr id="786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2030000}"/>
            </a:ext>
          </a:extLst>
        </xdr:cNvPr>
        <xdr:cNvSpPr>
          <a:spLocks/>
        </xdr:cNvSpPr>
      </xdr:nvSpPr>
      <xdr:spPr bwMode="auto">
        <a:xfrm>
          <a:off x="14320253" y="3005889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787" name="Callout: Double Bent Line with Border and Accent Bar 786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13030000}"/>
            </a:ext>
          </a:extLst>
        </xdr:cNvPr>
        <xdr:cNvSpPr/>
      </xdr:nvSpPr>
      <xdr:spPr>
        <a:xfrm>
          <a:off x="13254789" y="317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8</xdr:row>
      <xdr:rowOff>38100</xdr:rowOff>
    </xdr:from>
    <xdr:to>
      <xdr:col>40</xdr:col>
      <xdr:colOff>317500</xdr:colOff>
      <xdr:row>8</xdr:row>
      <xdr:rowOff>165100</xdr:rowOff>
    </xdr:to>
    <xdr:sp macro="[1]!CalloutLine1_Click" textlink="">
      <xdr:nvSpPr>
        <xdr:cNvPr id="788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4030000}"/>
            </a:ext>
          </a:extLst>
        </xdr:cNvPr>
        <xdr:cNvSpPr>
          <a:spLocks/>
        </xdr:cNvSpPr>
      </xdr:nvSpPr>
      <xdr:spPr bwMode="auto">
        <a:xfrm>
          <a:off x="13939253" y="32164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789" name="Callout: Double Bent Line with Border and Accent Bar 788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15030000}"/>
            </a:ext>
          </a:extLst>
        </xdr:cNvPr>
        <xdr:cNvSpPr/>
      </xdr:nvSpPr>
      <xdr:spPr>
        <a:xfrm>
          <a:off x="13254789" y="5073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790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16030000}"/>
            </a:ext>
          </a:extLst>
        </xdr:cNvPr>
        <xdr:cNvSpPr>
          <a:spLocks/>
        </xdr:cNvSpPr>
      </xdr:nvSpPr>
      <xdr:spPr bwMode="auto">
        <a:xfrm>
          <a:off x="13926553" y="5073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791" name="Callout: Double Bent Line with Border and Accent Bar 790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17030000}"/>
            </a:ext>
          </a:extLst>
        </xdr:cNvPr>
        <xdr:cNvSpPr/>
      </xdr:nvSpPr>
      <xdr:spPr>
        <a:xfrm>
          <a:off x="13254789" y="5283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792" name="Callout: Line 5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18030000}"/>
            </a:ext>
          </a:extLst>
        </xdr:cNvPr>
        <xdr:cNvSpPr>
          <a:spLocks/>
        </xdr:cNvSpPr>
      </xdr:nvSpPr>
      <xdr:spPr bwMode="auto">
        <a:xfrm>
          <a:off x="13926553" y="59155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39</xdr:col>
      <xdr:colOff>266700</xdr:colOff>
      <xdr:row>18</xdr:row>
      <xdr:rowOff>114300</xdr:rowOff>
    </xdr:to>
    <xdr:sp macro="" textlink="">
      <xdr:nvSpPr>
        <xdr:cNvPr id="793" name="Callout: Double Bent Line with Border and Accent Bar 792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19030000}"/>
            </a:ext>
          </a:extLst>
        </xdr:cNvPr>
        <xdr:cNvSpPr/>
      </xdr:nvSpPr>
      <xdr:spPr>
        <a:xfrm>
          <a:off x="13254789" y="84421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40</xdr:col>
      <xdr:colOff>304800</xdr:colOff>
      <xdr:row>18</xdr:row>
      <xdr:rowOff>127000</xdr:rowOff>
    </xdr:to>
    <xdr:sp macro="[1]!CalloutLine1_Click" textlink="">
      <xdr:nvSpPr>
        <xdr:cNvPr id="794" name="Callout: Line 4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1A030000}"/>
            </a:ext>
          </a:extLst>
        </xdr:cNvPr>
        <xdr:cNvSpPr>
          <a:spLocks/>
        </xdr:cNvSpPr>
      </xdr:nvSpPr>
      <xdr:spPr bwMode="auto">
        <a:xfrm>
          <a:off x="13926553" y="8442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39</xdr:col>
      <xdr:colOff>266700</xdr:colOff>
      <xdr:row>19</xdr:row>
      <xdr:rowOff>114300</xdr:rowOff>
    </xdr:to>
    <xdr:sp macro="" textlink="">
      <xdr:nvSpPr>
        <xdr:cNvPr id="795" name="Callout: Double Bent Line with Border and Accent Bar 794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1B030000}"/>
            </a:ext>
          </a:extLst>
        </xdr:cNvPr>
        <xdr:cNvSpPr/>
      </xdr:nvSpPr>
      <xdr:spPr>
        <a:xfrm>
          <a:off x="13254789" y="8652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19</xdr:row>
      <xdr:rowOff>0</xdr:rowOff>
    </xdr:from>
    <xdr:to>
      <xdr:col>40</xdr:col>
      <xdr:colOff>304800</xdr:colOff>
      <xdr:row>19</xdr:row>
      <xdr:rowOff>127000</xdr:rowOff>
    </xdr:to>
    <xdr:sp macro="[1]!CalloutLine1_Click" textlink="">
      <xdr:nvSpPr>
        <xdr:cNvPr id="796" name="Callout: Line 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1C030000}"/>
            </a:ext>
          </a:extLst>
        </xdr:cNvPr>
        <xdr:cNvSpPr>
          <a:spLocks/>
        </xdr:cNvSpPr>
      </xdr:nvSpPr>
      <xdr:spPr bwMode="auto">
        <a:xfrm>
          <a:off x="13926553" y="8652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40</xdr:col>
      <xdr:colOff>304800</xdr:colOff>
      <xdr:row>20</xdr:row>
      <xdr:rowOff>127000</xdr:rowOff>
    </xdr:to>
    <xdr:sp macro="[1]!CalloutLine1_Click" textlink="">
      <xdr:nvSpPr>
        <xdr:cNvPr id="797" name="Callout: Line 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1D030000}"/>
            </a:ext>
          </a:extLst>
        </xdr:cNvPr>
        <xdr:cNvSpPr>
          <a:spLocks/>
        </xdr:cNvSpPr>
      </xdr:nvSpPr>
      <xdr:spPr bwMode="auto">
        <a:xfrm>
          <a:off x="13926553" y="8863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39</xdr:col>
      <xdr:colOff>266700</xdr:colOff>
      <xdr:row>21</xdr:row>
      <xdr:rowOff>114300</xdr:rowOff>
    </xdr:to>
    <xdr:sp macro="" textlink="">
      <xdr:nvSpPr>
        <xdr:cNvPr id="798" name="Callout: Double Bent Line with Border and Accent Bar 797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1E030000}"/>
            </a:ext>
          </a:extLst>
        </xdr:cNvPr>
        <xdr:cNvSpPr/>
      </xdr:nvSpPr>
      <xdr:spPr>
        <a:xfrm>
          <a:off x="13254789" y="160220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40</xdr:col>
      <xdr:colOff>304800</xdr:colOff>
      <xdr:row>21</xdr:row>
      <xdr:rowOff>127000</xdr:rowOff>
    </xdr:to>
    <xdr:sp macro="[1]!CalloutLine1_Click" textlink="">
      <xdr:nvSpPr>
        <xdr:cNvPr id="799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1F030000}"/>
            </a:ext>
          </a:extLst>
        </xdr:cNvPr>
        <xdr:cNvSpPr>
          <a:spLocks/>
        </xdr:cNvSpPr>
      </xdr:nvSpPr>
      <xdr:spPr bwMode="auto">
        <a:xfrm>
          <a:off x="13926553" y="160220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22</xdr:row>
      <xdr:rowOff>0</xdr:rowOff>
    </xdr:from>
    <xdr:to>
      <xdr:col>40</xdr:col>
      <xdr:colOff>304800</xdr:colOff>
      <xdr:row>22</xdr:row>
      <xdr:rowOff>127000</xdr:rowOff>
    </xdr:to>
    <xdr:sp macro="[1]!CalloutLine1_Click" textlink="">
      <xdr:nvSpPr>
        <xdr:cNvPr id="800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20030000}"/>
            </a:ext>
          </a:extLst>
        </xdr:cNvPr>
        <xdr:cNvSpPr>
          <a:spLocks/>
        </xdr:cNvSpPr>
      </xdr:nvSpPr>
      <xdr:spPr bwMode="auto">
        <a:xfrm>
          <a:off x="13926553" y="162326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40</xdr:col>
      <xdr:colOff>304800</xdr:colOff>
      <xdr:row>23</xdr:row>
      <xdr:rowOff>127000</xdr:rowOff>
    </xdr:to>
    <xdr:sp macro="[1]!CalloutLine1_Click" textlink="">
      <xdr:nvSpPr>
        <xdr:cNvPr id="801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21030000}"/>
            </a:ext>
          </a:extLst>
        </xdr:cNvPr>
        <xdr:cNvSpPr>
          <a:spLocks/>
        </xdr:cNvSpPr>
      </xdr:nvSpPr>
      <xdr:spPr bwMode="auto">
        <a:xfrm>
          <a:off x="13926553" y="16443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24</xdr:row>
      <xdr:rowOff>0</xdr:rowOff>
    </xdr:from>
    <xdr:to>
      <xdr:col>40</xdr:col>
      <xdr:colOff>304800</xdr:colOff>
      <xdr:row>24</xdr:row>
      <xdr:rowOff>127000</xdr:rowOff>
    </xdr:to>
    <xdr:sp macro="[1]!CalloutLine1_Click" textlink="">
      <xdr:nvSpPr>
        <xdr:cNvPr id="802" name="Callout: Line 16">
          <a:extLst>
            <a:ext uri="{FF2B5EF4-FFF2-40B4-BE49-F238E27FC236}">
              <a16:creationId xmlns:a16="http://schemas.microsoft.com/office/drawing/2014/main" id="{00000000-0008-0000-0100-000022030000}"/>
            </a:ext>
          </a:extLst>
        </xdr:cNvPr>
        <xdr:cNvSpPr>
          <a:spLocks/>
        </xdr:cNvSpPr>
      </xdr:nvSpPr>
      <xdr:spPr bwMode="auto">
        <a:xfrm>
          <a:off x="13926553" y="16653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25</xdr:row>
      <xdr:rowOff>0</xdr:rowOff>
    </xdr:from>
    <xdr:to>
      <xdr:col>40</xdr:col>
      <xdr:colOff>304800</xdr:colOff>
      <xdr:row>25</xdr:row>
      <xdr:rowOff>127000</xdr:rowOff>
    </xdr:to>
    <xdr:sp macro="[1]!CalloutLine1_Click" textlink="">
      <xdr:nvSpPr>
        <xdr:cNvPr id="803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23030000}"/>
            </a:ext>
          </a:extLst>
        </xdr:cNvPr>
        <xdr:cNvSpPr>
          <a:spLocks/>
        </xdr:cNvSpPr>
      </xdr:nvSpPr>
      <xdr:spPr bwMode="auto">
        <a:xfrm>
          <a:off x="13926553" y="16864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26</xdr:row>
      <xdr:rowOff>0</xdr:rowOff>
    </xdr:from>
    <xdr:to>
      <xdr:col>40</xdr:col>
      <xdr:colOff>304800</xdr:colOff>
      <xdr:row>26</xdr:row>
      <xdr:rowOff>127000</xdr:rowOff>
    </xdr:to>
    <xdr:sp macro="[1]!CalloutLine1_Click" textlink="">
      <xdr:nvSpPr>
        <xdr:cNvPr id="804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24030000}"/>
            </a:ext>
          </a:extLst>
        </xdr:cNvPr>
        <xdr:cNvSpPr>
          <a:spLocks/>
        </xdr:cNvSpPr>
      </xdr:nvSpPr>
      <xdr:spPr bwMode="auto">
        <a:xfrm>
          <a:off x="13926553" y="17074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27</xdr:row>
      <xdr:rowOff>0</xdr:rowOff>
    </xdr:from>
    <xdr:to>
      <xdr:col>40</xdr:col>
      <xdr:colOff>304800</xdr:colOff>
      <xdr:row>27</xdr:row>
      <xdr:rowOff>127000</xdr:rowOff>
    </xdr:to>
    <xdr:sp macro="[1]!CalloutLine1_Click" textlink="">
      <xdr:nvSpPr>
        <xdr:cNvPr id="805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25030000}"/>
            </a:ext>
          </a:extLst>
        </xdr:cNvPr>
        <xdr:cNvSpPr>
          <a:spLocks/>
        </xdr:cNvSpPr>
      </xdr:nvSpPr>
      <xdr:spPr bwMode="auto">
        <a:xfrm>
          <a:off x="13926553" y="172853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40</xdr:col>
      <xdr:colOff>304800</xdr:colOff>
      <xdr:row>28</xdr:row>
      <xdr:rowOff>127000</xdr:rowOff>
    </xdr:to>
    <xdr:sp macro="[1]!CalloutLine1_Click" textlink="">
      <xdr:nvSpPr>
        <xdr:cNvPr id="806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6030000}"/>
            </a:ext>
          </a:extLst>
        </xdr:cNvPr>
        <xdr:cNvSpPr>
          <a:spLocks/>
        </xdr:cNvSpPr>
      </xdr:nvSpPr>
      <xdr:spPr bwMode="auto">
        <a:xfrm>
          <a:off x="13926553" y="17495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40</xdr:col>
      <xdr:colOff>304800</xdr:colOff>
      <xdr:row>29</xdr:row>
      <xdr:rowOff>127000</xdr:rowOff>
    </xdr:to>
    <xdr:sp macro="[1]!CalloutLine1_Click" textlink="">
      <xdr:nvSpPr>
        <xdr:cNvPr id="807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7030000}"/>
            </a:ext>
          </a:extLst>
        </xdr:cNvPr>
        <xdr:cNvSpPr>
          <a:spLocks/>
        </xdr:cNvSpPr>
      </xdr:nvSpPr>
      <xdr:spPr bwMode="auto">
        <a:xfrm>
          <a:off x="13926553" y="21285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30</xdr:row>
      <xdr:rowOff>0</xdr:rowOff>
    </xdr:from>
    <xdr:to>
      <xdr:col>39</xdr:col>
      <xdr:colOff>266700</xdr:colOff>
      <xdr:row>30</xdr:row>
      <xdr:rowOff>114300</xdr:rowOff>
    </xdr:to>
    <xdr:sp macro="" textlink="">
      <xdr:nvSpPr>
        <xdr:cNvPr id="808" name="Callout: Double Bent Line with Border and Accent Bar 807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100-000028030000}"/>
            </a:ext>
          </a:extLst>
        </xdr:cNvPr>
        <xdr:cNvSpPr/>
      </xdr:nvSpPr>
      <xdr:spPr>
        <a:xfrm>
          <a:off x="13254789" y="21496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30</xdr:row>
      <xdr:rowOff>0</xdr:rowOff>
    </xdr:from>
    <xdr:to>
      <xdr:col>40</xdr:col>
      <xdr:colOff>304800</xdr:colOff>
      <xdr:row>30</xdr:row>
      <xdr:rowOff>127000</xdr:rowOff>
    </xdr:to>
    <xdr:sp macro="[1]!CalloutLine1_Click" textlink="">
      <xdr:nvSpPr>
        <xdr:cNvPr id="809" name="Callout: Line 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29030000}"/>
            </a:ext>
          </a:extLst>
        </xdr:cNvPr>
        <xdr:cNvSpPr>
          <a:spLocks/>
        </xdr:cNvSpPr>
      </xdr:nvSpPr>
      <xdr:spPr bwMode="auto">
        <a:xfrm>
          <a:off x="13926553" y="21496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810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A030000}"/>
            </a:ext>
          </a:extLst>
        </xdr:cNvPr>
        <xdr:cNvSpPr>
          <a:spLocks/>
        </xdr:cNvSpPr>
      </xdr:nvSpPr>
      <xdr:spPr bwMode="auto">
        <a:xfrm>
          <a:off x="13926553" y="1557421"/>
          <a:ext cx="304800" cy="147053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21558</xdr:colOff>
      <xdr:row>3</xdr:row>
      <xdr:rowOff>48127</xdr:rowOff>
    </xdr:from>
    <xdr:to>
      <xdr:col>39</xdr:col>
      <xdr:colOff>240632</xdr:colOff>
      <xdr:row>3</xdr:row>
      <xdr:rowOff>160421</xdr:rowOff>
    </xdr:to>
    <xdr:sp macro="" textlink="">
      <xdr:nvSpPr>
        <xdr:cNvPr id="811" name="Callout: Double Bent Line with Border and Accent Bar 81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2B030000}"/>
            </a:ext>
          </a:extLst>
        </xdr:cNvPr>
        <xdr:cNvSpPr/>
      </xdr:nvSpPr>
      <xdr:spPr>
        <a:xfrm>
          <a:off x="13276347" y="2173706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25400</xdr:rowOff>
    </xdr:from>
    <xdr:to>
      <xdr:col>40</xdr:col>
      <xdr:colOff>304800</xdr:colOff>
      <xdr:row>3</xdr:row>
      <xdr:rowOff>152400</xdr:rowOff>
    </xdr:to>
    <xdr:sp macro="[1]!CalloutLine1_Click" textlink="">
      <xdr:nvSpPr>
        <xdr:cNvPr id="812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C030000}"/>
            </a:ext>
          </a:extLst>
        </xdr:cNvPr>
        <xdr:cNvSpPr>
          <a:spLocks/>
        </xdr:cNvSpPr>
      </xdr:nvSpPr>
      <xdr:spPr bwMode="auto">
        <a:xfrm>
          <a:off x="13926553" y="2150979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813" name="Callout: Double Bent Line with Border and Accent Bar 812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2D030000}"/>
            </a:ext>
          </a:extLst>
        </xdr:cNvPr>
        <xdr:cNvSpPr/>
      </xdr:nvSpPr>
      <xdr:spPr>
        <a:xfrm>
          <a:off x="13254789" y="2336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814" name="Callout: Double Bent Line with Border and Accent Bar 813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2E030000}"/>
            </a:ext>
          </a:extLst>
        </xdr:cNvPr>
        <xdr:cNvSpPr/>
      </xdr:nvSpPr>
      <xdr:spPr>
        <a:xfrm>
          <a:off x="13254789" y="2546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5</xdr:row>
      <xdr:rowOff>25400</xdr:rowOff>
    </xdr:from>
    <xdr:to>
      <xdr:col>40</xdr:col>
      <xdr:colOff>317500</xdr:colOff>
      <xdr:row>5</xdr:row>
      <xdr:rowOff>152400</xdr:rowOff>
    </xdr:to>
    <xdr:sp macro="[1]!CalloutLine1_Click" textlink="">
      <xdr:nvSpPr>
        <xdr:cNvPr id="815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F030000}"/>
            </a:ext>
          </a:extLst>
        </xdr:cNvPr>
        <xdr:cNvSpPr>
          <a:spLocks/>
        </xdr:cNvSpPr>
      </xdr:nvSpPr>
      <xdr:spPr bwMode="auto">
        <a:xfrm>
          <a:off x="13939253" y="25720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816" name="Callout: Double Bent Line with Border and Accent Bar 815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30030000}"/>
            </a:ext>
          </a:extLst>
        </xdr:cNvPr>
        <xdr:cNvSpPr/>
      </xdr:nvSpPr>
      <xdr:spPr>
        <a:xfrm>
          <a:off x="13254789" y="275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6</xdr:row>
      <xdr:rowOff>25400</xdr:rowOff>
    </xdr:from>
    <xdr:to>
      <xdr:col>40</xdr:col>
      <xdr:colOff>317500</xdr:colOff>
      <xdr:row>6</xdr:row>
      <xdr:rowOff>152400</xdr:rowOff>
    </xdr:to>
    <xdr:sp macro="[1]!CalloutLine1_Click" textlink="">
      <xdr:nvSpPr>
        <xdr:cNvPr id="817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31030000}"/>
            </a:ext>
          </a:extLst>
        </xdr:cNvPr>
        <xdr:cNvSpPr>
          <a:spLocks/>
        </xdr:cNvSpPr>
      </xdr:nvSpPr>
      <xdr:spPr bwMode="auto">
        <a:xfrm>
          <a:off x="13939253" y="27826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818" name="Callout: Double Bent Line with Border and Accent Bar 817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32030000}"/>
            </a:ext>
          </a:extLst>
        </xdr:cNvPr>
        <xdr:cNvSpPr/>
      </xdr:nvSpPr>
      <xdr:spPr>
        <a:xfrm>
          <a:off x="13254789" y="296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393700</xdr:colOff>
      <xdr:row>7</xdr:row>
      <xdr:rowOff>38100</xdr:rowOff>
    </xdr:from>
    <xdr:to>
      <xdr:col>40</xdr:col>
      <xdr:colOff>647700</xdr:colOff>
      <xdr:row>7</xdr:row>
      <xdr:rowOff>152400</xdr:rowOff>
    </xdr:to>
    <xdr:sp macro="[1]!CalloutLine1_Click" textlink="">
      <xdr:nvSpPr>
        <xdr:cNvPr id="819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33030000}"/>
            </a:ext>
          </a:extLst>
        </xdr:cNvPr>
        <xdr:cNvSpPr>
          <a:spLocks/>
        </xdr:cNvSpPr>
      </xdr:nvSpPr>
      <xdr:spPr bwMode="auto">
        <a:xfrm>
          <a:off x="14320253" y="3005889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820" name="Callout: Double Bent Line with Border and Accent Bar 819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34030000}"/>
            </a:ext>
          </a:extLst>
        </xdr:cNvPr>
        <xdr:cNvSpPr/>
      </xdr:nvSpPr>
      <xdr:spPr>
        <a:xfrm>
          <a:off x="13254789" y="317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8</xdr:row>
      <xdr:rowOff>38100</xdr:rowOff>
    </xdr:from>
    <xdr:to>
      <xdr:col>40</xdr:col>
      <xdr:colOff>317500</xdr:colOff>
      <xdr:row>8</xdr:row>
      <xdr:rowOff>165100</xdr:rowOff>
    </xdr:to>
    <xdr:sp macro="[1]!CalloutLine1_Click" textlink="">
      <xdr:nvSpPr>
        <xdr:cNvPr id="821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35030000}"/>
            </a:ext>
          </a:extLst>
        </xdr:cNvPr>
        <xdr:cNvSpPr>
          <a:spLocks/>
        </xdr:cNvSpPr>
      </xdr:nvSpPr>
      <xdr:spPr bwMode="auto">
        <a:xfrm>
          <a:off x="13939253" y="32164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822" name="Callout: Double Bent Line with Border and Accent Bar 821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36030000}"/>
            </a:ext>
          </a:extLst>
        </xdr:cNvPr>
        <xdr:cNvSpPr/>
      </xdr:nvSpPr>
      <xdr:spPr>
        <a:xfrm>
          <a:off x="13254789" y="5073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823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37030000}"/>
            </a:ext>
          </a:extLst>
        </xdr:cNvPr>
        <xdr:cNvSpPr>
          <a:spLocks/>
        </xdr:cNvSpPr>
      </xdr:nvSpPr>
      <xdr:spPr bwMode="auto">
        <a:xfrm>
          <a:off x="13926553" y="5073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824" name="Callout: Double Bent Line with Border and Accent Bar 823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38030000}"/>
            </a:ext>
          </a:extLst>
        </xdr:cNvPr>
        <xdr:cNvSpPr/>
      </xdr:nvSpPr>
      <xdr:spPr>
        <a:xfrm>
          <a:off x="13254789" y="5283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825" name="Callout: Line 5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39030000}"/>
            </a:ext>
          </a:extLst>
        </xdr:cNvPr>
        <xdr:cNvSpPr>
          <a:spLocks/>
        </xdr:cNvSpPr>
      </xdr:nvSpPr>
      <xdr:spPr bwMode="auto">
        <a:xfrm>
          <a:off x="13926553" y="59155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39</xdr:col>
      <xdr:colOff>266700</xdr:colOff>
      <xdr:row>18</xdr:row>
      <xdr:rowOff>114300</xdr:rowOff>
    </xdr:to>
    <xdr:sp macro="" textlink="">
      <xdr:nvSpPr>
        <xdr:cNvPr id="826" name="Callout: Double Bent Line with Border and Accent Bar 825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13254789" y="84421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40</xdr:col>
      <xdr:colOff>304800</xdr:colOff>
      <xdr:row>18</xdr:row>
      <xdr:rowOff>127000</xdr:rowOff>
    </xdr:to>
    <xdr:sp macro="[1]!CalloutLine1_Click" textlink="">
      <xdr:nvSpPr>
        <xdr:cNvPr id="827" name="Callout: Line 4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>
          <a:spLocks/>
        </xdr:cNvSpPr>
      </xdr:nvSpPr>
      <xdr:spPr bwMode="auto">
        <a:xfrm>
          <a:off x="13926553" y="8442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39</xdr:col>
      <xdr:colOff>266700</xdr:colOff>
      <xdr:row>19</xdr:row>
      <xdr:rowOff>114300</xdr:rowOff>
    </xdr:to>
    <xdr:sp macro="" textlink="">
      <xdr:nvSpPr>
        <xdr:cNvPr id="828" name="Callout: Double Bent Line with Border and Accent Bar 827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>
        <a:xfrm>
          <a:off x="13254789" y="8652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19</xdr:row>
      <xdr:rowOff>0</xdr:rowOff>
    </xdr:from>
    <xdr:to>
      <xdr:col>40</xdr:col>
      <xdr:colOff>304800</xdr:colOff>
      <xdr:row>19</xdr:row>
      <xdr:rowOff>127000</xdr:rowOff>
    </xdr:to>
    <xdr:sp macro="[1]!CalloutLine1_Click" textlink="">
      <xdr:nvSpPr>
        <xdr:cNvPr id="829" name="Callout: Line 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>
          <a:spLocks/>
        </xdr:cNvSpPr>
      </xdr:nvSpPr>
      <xdr:spPr bwMode="auto">
        <a:xfrm>
          <a:off x="13926553" y="8652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40</xdr:col>
      <xdr:colOff>304800</xdr:colOff>
      <xdr:row>20</xdr:row>
      <xdr:rowOff>127000</xdr:rowOff>
    </xdr:to>
    <xdr:sp macro="[1]!CalloutLine1_Click" textlink="">
      <xdr:nvSpPr>
        <xdr:cNvPr id="830" name="Callout: Line 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>
          <a:spLocks/>
        </xdr:cNvSpPr>
      </xdr:nvSpPr>
      <xdr:spPr bwMode="auto">
        <a:xfrm>
          <a:off x="13926553" y="8863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39</xdr:col>
      <xdr:colOff>266700</xdr:colOff>
      <xdr:row>21</xdr:row>
      <xdr:rowOff>114300</xdr:rowOff>
    </xdr:to>
    <xdr:sp macro="" textlink="">
      <xdr:nvSpPr>
        <xdr:cNvPr id="831" name="Callout: Double Bent Line with Border and Accent Bar 830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>
        <a:xfrm>
          <a:off x="13254789" y="160220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40</xdr:col>
      <xdr:colOff>304800</xdr:colOff>
      <xdr:row>21</xdr:row>
      <xdr:rowOff>127000</xdr:rowOff>
    </xdr:to>
    <xdr:sp macro="[1]!CalloutLine1_Click" textlink="">
      <xdr:nvSpPr>
        <xdr:cNvPr id="832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40030000}"/>
            </a:ext>
          </a:extLst>
        </xdr:cNvPr>
        <xdr:cNvSpPr>
          <a:spLocks/>
        </xdr:cNvSpPr>
      </xdr:nvSpPr>
      <xdr:spPr bwMode="auto">
        <a:xfrm>
          <a:off x="13926553" y="160220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22</xdr:row>
      <xdr:rowOff>0</xdr:rowOff>
    </xdr:from>
    <xdr:to>
      <xdr:col>40</xdr:col>
      <xdr:colOff>304800</xdr:colOff>
      <xdr:row>22</xdr:row>
      <xdr:rowOff>127000</xdr:rowOff>
    </xdr:to>
    <xdr:sp macro="[1]!CalloutLine1_Click" textlink="">
      <xdr:nvSpPr>
        <xdr:cNvPr id="833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41030000}"/>
            </a:ext>
          </a:extLst>
        </xdr:cNvPr>
        <xdr:cNvSpPr>
          <a:spLocks/>
        </xdr:cNvSpPr>
      </xdr:nvSpPr>
      <xdr:spPr bwMode="auto">
        <a:xfrm>
          <a:off x="13926553" y="162326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40</xdr:col>
      <xdr:colOff>304800</xdr:colOff>
      <xdr:row>23</xdr:row>
      <xdr:rowOff>127000</xdr:rowOff>
    </xdr:to>
    <xdr:sp macro="[1]!CalloutLine1_Click" textlink="">
      <xdr:nvSpPr>
        <xdr:cNvPr id="834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42030000}"/>
            </a:ext>
          </a:extLst>
        </xdr:cNvPr>
        <xdr:cNvSpPr>
          <a:spLocks/>
        </xdr:cNvSpPr>
      </xdr:nvSpPr>
      <xdr:spPr bwMode="auto">
        <a:xfrm>
          <a:off x="13926553" y="16443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24</xdr:row>
      <xdr:rowOff>0</xdr:rowOff>
    </xdr:from>
    <xdr:to>
      <xdr:col>40</xdr:col>
      <xdr:colOff>304800</xdr:colOff>
      <xdr:row>24</xdr:row>
      <xdr:rowOff>127000</xdr:rowOff>
    </xdr:to>
    <xdr:sp macro="[1]!CalloutLine1_Click" textlink="">
      <xdr:nvSpPr>
        <xdr:cNvPr id="835" name="Callout: Line 16">
          <a:extLst>
            <a:ext uri="{FF2B5EF4-FFF2-40B4-BE49-F238E27FC236}">
              <a16:creationId xmlns:a16="http://schemas.microsoft.com/office/drawing/2014/main" id="{00000000-0008-0000-0100-000043030000}"/>
            </a:ext>
          </a:extLst>
        </xdr:cNvPr>
        <xdr:cNvSpPr>
          <a:spLocks/>
        </xdr:cNvSpPr>
      </xdr:nvSpPr>
      <xdr:spPr bwMode="auto">
        <a:xfrm>
          <a:off x="13926553" y="16653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25</xdr:row>
      <xdr:rowOff>0</xdr:rowOff>
    </xdr:from>
    <xdr:to>
      <xdr:col>40</xdr:col>
      <xdr:colOff>304800</xdr:colOff>
      <xdr:row>25</xdr:row>
      <xdr:rowOff>127000</xdr:rowOff>
    </xdr:to>
    <xdr:sp macro="[1]!CalloutLine1_Click" textlink="">
      <xdr:nvSpPr>
        <xdr:cNvPr id="836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44030000}"/>
            </a:ext>
          </a:extLst>
        </xdr:cNvPr>
        <xdr:cNvSpPr>
          <a:spLocks/>
        </xdr:cNvSpPr>
      </xdr:nvSpPr>
      <xdr:spPr bwMode="auto">
        <a:xfrm>
          <a:off x="13926553" y="16864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26</xdr:row>
      <xdr:rowOff>0</xdr:rowOff>
    </xdr:from>
    <xdr:to>
      <xdr:col>40</xdr:col>
      <xdr:colOff>304800</xdr:colOff>
      <xdr:row>26</xdr:row>
      <xdr:rowOff>127000</xdr:rowOff>
    </xdr:to>
    <xdr:sp macro="[1]!CalloutLine1_Click" textlink="">
      <xdr:nvSpPr>
        <xdr:cNvPr id="837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45030000}"/>
            </a:ext>
          </a:extLst>
        </xdr:cNvPr>
        <xdr:cNvSpPr>
          <a:spLocks/>
        </xdr:cNvSpPr>
      </xdr:nvSpPr>
      <xdr:spPr bwMode="auto">
        <a:xfrm>
          <a:off x="13926553" y="17074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27</xdr:row>
      <xdr:rowOff>0</xdr:rowOff>
    </xdr:from>
    <xdr:to>
      <xdr:col>40</xdr:col>
      <xdr:colOff>304800</xdr:colOff>
      <xdr:row>27</xdr:row>
      <xdr:rowOff>127000</xdr:rowOff>
    </xdr:to>
    <xdr:sp macro="[1]!CalloutLine1_Click" textlink="">
      <xdr:nvSpPr>
        <xdr:cNvPr id="838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46030000}"/>
            </a:ext>
          </a:extLst>
        </xdr:cNvPr>
        <xdr:cNvSpPr>
          <a:spLocks/>
        </xdr:cNvSpPr>
      </xdr:nvSpPr>
      <xdr:spPr bwMode="auto">
        <a:xfrm>
          <a:off x="13926553" y="172853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40</xdr:col>
      <xdr:colOff>304800</xdr:colOff>
      <xdr:row>28</xdr:row>
      <xdr:rowOff>127000</xdr:rowOff>
    </xdr:to>
    <xdr:sp macro="[1]!CalloutLine1_Click" textlink="">
      <xdr:nvSpPr>
        <xdr:cNvPr id="839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47030000}"/>
            </a:ext>
          </a:extLst>
        </xdr:cNvPr>
        <xdr:cNvSpPr>
          <a:spLocks/>
        </xdr:cNvSpPr>
      </xdr:nvSpPr>
      <xdr:spPr bwMode="auto">
        <a:xfrm>
          <a:off x="13926553" y="17495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40</xdr:col>
      <xdr:colOff>304800</xdr:colOff>
      <xdr:row>29</xdr:row>
      <xdr:rowOff>127000</xdr:rowOff>
    </xdr:to>
    <xdr:sp macro="[1]!CalloutLine1_Click" textlink="">
      <xdr:nvSpPr>
        <xdr:cNvPr id="840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48030000}"/>
            </a:ext>
          </a:extLst>
        </xdr:cNvPr>
        <xdr:cNvSpPr>
          <a:spLocks/>
        </xdr:cNvSpPr>
      </xdr:nvSpPr>
      <xdr:spPr bwMode="auto">
        <a:xfrm>
          <a:off x="13926553" y="21285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30</xdr:row>
      <xdr:rowOff>0</xdr:rowOff>
    </xdr:from>
    <xdr:to>
      <xdr:col>39</xdr:col>
      <xdr:colOff>266700</xdr:colOff>
      <xdr:row>30</xdr:row>
      <xdr:rowOff>114300</xdr:rowOff>
    </xdr:to>
    <xdr:sp macro="" textlink="">
      <xdr:nvSpPr>
        <xdr:cNvPr id="841" name="Callout: Double Bent Line with Border and Accent Bar 840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100-000049030000}"/>
            </a:ext>
          </a:extLst>
        </xdr:cNvPr>
        <xdr:cNvSpPr/>
      </xdr:nvSpPr>
      <xdr:spPr>
        <a:xfrm>
          <a:off x="13254789" y="21496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30</xdr:row>
      <xdr:rowOff>0</xdr:rowOff>
    </xdr:from>
    <xdr:to>
      <xdr:col>40</xdr:col>
      <xdr:colOff>304800</xdr:colOff>
      <xdr:row>30</xdr:row>
      <xdr:rowOff>127000</xdr:rowOff>
    </xdr:to>
    <xdr:sp macro="[1]!CalloutLine1_Click" textlink="">
      <xdr:nvSpPr>
        <xdr:cNvPr id="842" name="Callout: Line 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4A030000}"/>
            </a:ext>
          </a:extLst>
        </xdr:cNvPr>
        <xdr:cNvSpPr>
          <a:spLocks/>
        </xdr:cNvSpPr>
      </xdr:nvSpPr>
      <xdr:spPr bwMode="auto">
        <a:xfrm>
          <a:off x="13926553" y="21496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843" name="Callout: Double Bent Line with Border and Accent Bar 842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4B030000}"/>
            </a:ext>
          </a:extLst>
        </xdr:cNvPr>
        <xdr:cNvSpPr/>
      </xdr:nvSpPr>
      <xdr:spPr>
        <a:xfrm>
          <a:off x="13254789" y="94949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844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4C030000}"/>
            </a:ext>
          </a:extLst>
        </xdr:cNvPr>
        <xdr:cNvSpPr>
          <a:spLocks/>
        </xdr:cNvSpPr>
      </xdr:nvSpPr>
      <xdr:spPr bwMode="auto">
        <a:xfrm>
          <a:off x="13926553" y="9494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845" name="Callout: Double Bent Line with Border and Accent Bar 844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4D030000}"/>
            </a:ext>
          </a:extLst>
        </xdr:cNvPr>
        <xdr:cNvSpPr/>
      </xdr:nvSpPr>
      <xdr:spPr>
        <a:xfrm>
          <a:off x="13254789" y="97054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846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4E030000}"/>
            </a:ext>
          </a:extLst>
        </xdr:cNvPr>
        <xdr:cNvSpPr>
          <a:spLocks/>
        </xdr:cNvSpPr>
      </xdr:nvSpPr>
      <xdr:spPr bwMode="auto">
        <a:xfrm>
          <a:off x="13926553" y="97054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847" name="Callout: Double Bent Line with Border and Accent Bar 846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4F030000}"/>
            </a:ext>
          </a:extLst>
        </xdr:cNvPr>
        <xdr:cNvSpPr/>
      </xdr:nvSpPr>
      <xdr:spPr>
        <a:xfrm>
          <a:off x="13254789" y="99160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848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50030000}"/>
            </a:ext>
          </a:extLst>
        </xdr:cNvPr>
        <xdr:cNvSpPr>
          <a:spLocks/>
        </xdr:cNvSpPr>
      </xdr:nvSpPr>
      <xdr:spPr bwMode="auto">
        <a:xfrm>
          <a:off x="13926553" y="99160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849" name="Callout: Double Bent Line with Border and Accent Bar 848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51030000}"/>
            </a:ext>
          </a:extLst>
        </xdr:cNvPr>
        <xdr:cNvSpPr/>
      </xdr:nvSpPr>
      <xdr:spPr>
        <a:xfrm>
          <a:off x="13254789" y="101265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850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52030000}"/>
            </a:ext>
          </a:extLst>
        </xdr:cNvPr>
        <xdr:cNvSpPr>
          <a:spLocks/>
        </xdr:cNvSpPr>
      </xdr:nvSpPr>
      <xdr:spPr bwMode="auto">
        <a:xfrm>
          <a:off x="13926553" y="101265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851" name="Callout: Double Bent Line with Border and Accent Bar 850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53030000}"/>
            </a:ext>
          </a:extLst>
        </xdr:cNvPr>
        <xdr:cNvSpPr/>
      </xdr:nvSpPr>
      <xdr:spPr>
        <a:xfrm>
          <a:off x="13254789" y="15179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852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54030000}"/>
            </a:ext>
          </a:extLst>
        </xdr:cNvPr>
        <xdr:cNvSpPr>
          <a:spLocks/>
        </xdr:cNvSpPr>
      </xdr:nvSpPr>
      <xdr:spPr bwMode="auto">
        <a:xfrm>
          <a:off x="13926553" y="15179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853" name="Callout: Double Bent Line with Border and Accent Bar 852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55030000}"/>
            </a:ext>
          </a:extLst>
        </xdr:cNvPr>
        <xdr:cNvSpPr/>
      </xdr:nvSpPr>
      <xdr:spPr>
        <a:xfrm>
          <a:off x="13254789" y="15390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854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56030000}"/>
            </a:ext>
          </a:extLst>
        </xdr:cNvPr>
        <xdr:cNvSpPr>
          <a:spLocks/>
        </xdr:cNvSpPr>
      </xdr:nvSpPr>
      <xdr:spPr bwMode="auto">
        <a:xfrm>
          <a:off x="13926553" y="15390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855" name="Callout: Double Bent Line with Border and Accent Bar 854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57030000}"/>
            </a:ext>
          </a:extLst>
        </xdr:cNvPr>
        <xdr:cNvSpPr/>
      </xdr:nvSpPr>
      <xdr:spPr>
        <a:xfrm>
          <a:off x="13254789" y="15600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856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58030000}"/>
            </a:ext>
          </a:extLst>
        </xdr:cNvPr>
        <xdr:cNvSpPr>
          <a:spLocks/>
        </xdr:cNvSpPr>
      </xdr:nvSpPr>
      <xdr:spPr bwMode="auto">
        <a:xfrm>
          <a:off x="13926553" y="156009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857" name="Callout: Double Bent Line with Border and Accent Bar 856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59030000}"/>
            </a:ext>
          </a:extLst>
        </xdr:cNvPr>
        <xdr:cNvSpPr/>
      </xdr:nvSpPr>
      <xdr:spPr>
        <a:xfrm>
          <a:off x="13254789" y="15811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858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5A030000}"/>
            </a:ext>
          </a:extLst>
        </xdr:cNvPr>
        <xdr:cNvSpPr>
          <a:spLocks/>
        </xdr:cNvSpPr>
      </xdr:nvSpPr>
      <xdr:spPr bwMode="auto">
        <a:xfrm>
          <a:off x="13926553" y="15811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859" name="Callout: Double Bent Line with Border and Accent Bar 858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5B030000}"/>
            </a:ext>
          </a:extLst>
        </xdr:cNvPr>
        <xdr:cNvSpPr/>
      </xdr:nvSpPr>
      <xdr:spPr>
        <a:xfrm>
          <a:off x="13254789" y="94949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860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5C030000}"/>
            </a:ext>
          </a:extLst>
        </xdr:cNvPr>
        <xdr:cNvSpPr>
          <a:spLocks/>
        </xdr:cNvSpPr>
      </xdr:nvSpPr>
      <xdr:spPr bwMode="auto">
        <a:xfrm>
          <a:off x="13926553" y="9494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861" name="Callout: Double Bent Line with Border and Accent Bar 860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5D030000}"/>
            </a:ext>
          </a:extLst>
        </xdr:cNvPr>
        <xdr:cNvSpPr/>
      </xdr:nvSpPr>
      <xdr:spPr>
        <a:xfrm>
          <a:off x="13254789" y="97054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862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5E030000}"/>
            </a:ext>
          </a:extLst>
        </xdr:cNvPr>
        <xdr:cNvSpPr>
          <a:spLocks/>
        </xdr:cNvSpPr>
      </xdr:nvSpPr>
      <xdr:spPr bwMode="auto">
        <a:xfrm>
          <a:off x="13926553" y="97054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863" name="Callout: Double Bent Line with Border and Accent Bar 862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5F030000}"/>
            </a:ext>
          </a:extLst>
        </xdr:cNvPr>
        <xdr:cNvSpPr/>
      </xdr:nvSpPr>
      <xdr:spPr>
        <a:xfrm>
          <a:off x="13254789" y="99160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864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60030000}"/>
            </a:ext>
          </a:extLst>
        </xdr:cNvPr>
        <xdr:cNvSpPr>
          <a:spLocks/>
        </xdr:cNvSpPr>
      </xdr:nvSpPr>
      <xdr:spPr bwMode="auto">
        <a:xfrm>
          <a:off x="13926553" y="99160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865" name="Callout: Double Bent Line with Border and Accent Bar 864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61030000}"/>
            </a:ext>
          </a:extLst>
        </xdr:cNvPr>
        <xdr:cNvSpPr/>
      </xdr:nvSpPr>
      <xdr:spPr>
        <a:xfrm>
          <a:off x="13254789" y="101265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866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62030000}"/>
            </a:ext>
          </a:extLst>
        </xdr:cNvPr>
        <xdr:cNvSpPr>
          <a:spLocks/>
        </xdr:cNvSpPr>
      </xdr:nvSpPr>
      <xdr:spPr bwMode="auto">
        <a:xfrm>
          <a:off x="13926553" y="101265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867" name="Callout: Double Bent Line with Border and Accent Bar 86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63030000}"/>
            </a:ext>
          </a:extLst>
        </xdr:cNvPr>
        <xdr:cNvSpPr/>
      </xdr:nvSpPr>
      <xdr:spPr>
        <a:xfrm>
          <a:off x="13254789" y="15179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868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64030000}"/>
            </a:ext>
          </a:extLst>
        </xdr:cNvPr>
        <xdr:cNvSpPr>
          <a:spLocks/>
        </xdr:cNvSpPr>
      </xdr:nvSpPr>
      <xdr:spPr bwMode="auto">
        <a:xfrm>
          <a:off x="13926553" y="15179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869" name="Callout: Double Bent Line with Border and Accent Bar 86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65030000}"/>
            </a:ext>
          </a:extLst>
        </xdr:cNvPr>
        <xdr:cNvSpPr/>
      </xdr:nvSpPr>
      <xdr:spPr>
        <a:xfrm>
          <a:off x="13254789" y="15390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870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66030000}"/>
            </a:ext>
          </a:extLst>
        </xdr:cNvPr>
        <xdr:cNvSpPr>
          <a:spLocks/>
        </xdr:cNvSpPr>
      </xdr:nvSpPr>
      <xdr:spPr bwMode="auto">
        <a:xfrm>
          <a:off x="13926553" y="15390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871" name="Callout: Double Bent Line with Border and Accent Bar 870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67030000}"/>
            </a:ext>
          </a:extLst>
        </xdr:cNvPr>
        <xdr:cNvSpPr/>
      </xdr:nvSpPr>
      <xdr:spPr>
        <a:xfrm>
          <a:off x="13254789" y="15600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872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68030000}"/>
            </a:ext>
          </a:extLst>
        </xdr:cNvPr>
        <xdr:cNvSpPr>
          <a:spLocks/>
        </xdr:cNvSpPr>
      </xdr:nvSpPr>
      <xdr:spPr bwMode="auto">
        <a:xfrm>
          <a:off x="13926553" y="156009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873" name="Callout: Double Bent Line with Border and Accent Bar 872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69030000}"/>
            </a:ext>
          </a:extLst>
        </xdr:cNvPr>
        <xdr:cNvSpPr/>
      </xdr:nvSpPr>
      <xdr:spPr>
        <a:xfrm>
          <a:off x="13254789" y="15811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874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6A030000}"/>
            </a:ext>
          </a:extLst>
        </xdr:cNvPr>
        <xdr:cNvSpPr>
          <a:spLocks/>
        </xdr:cNvSpPr>
      </xdr:nvSpPr>
      <xdr:spPr bwMode="auto">
        <a:xfrm>
          <a:off x="13926553" y="15811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875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6B030000}"/>
            </a:ext>
          </a:extLst>
        </xdr:cNvPr>
        <xdr:cNvSpPr>
          <a:spLocks/>
        </xdr:cNvSpPr>
      </xdr:nvSpPr>
      <xdr:spPr bwMode="auto">
        <a:xfrm>
          <a:off x="13926553" y="1557421"/>
          <a:ext cx="304800" cy="147053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876" name="Callout: Double Bent Line with Border and Accent Bar 875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6C030000}"/>
            </a:ext>
          </a:extLst>
        </xdr:cNvPr>
        <xdr:cNvSpPr/>
      </xdr:nvSpPr>
      <xdr:spPr>
        <a:xfrm>
          <a:off x="13254789" y="10337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877" name="Callout: Lin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6D030000}"/>
            </a:ext>
          </a:extLst>
        </xdr:cNvPr>
        <xdr:cNvSpPr>
          <a:spLocks/>
        </xdr:cNvSpPr>
      </xdr:nvSpPr>
      <xdr:spPr bwMode="auto">
        <a:xfrm>
          <a:off x="13926553" y="103371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878" name="Callout: Double Bent Line with Border and Accent Bar 877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6E030000}"/>
            </a:ext>
          </a:extLst>
        </xdr:cNvPr>
        <xdr:cNvSpPr/>
      </xdr:nvSpPr>
      <xdr:spPr>
        <a:xfrm>
          <a:off x="13254789" y="10547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879" name="Callout: Lin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6F030000}"/>
            </a:ext>
          </a:extLst>
        </xdr:cNvPr>
        <xdr:cNvSpPr>
          <a:spLocks/>
        </xdr:cNvSpPr>
      </xdr:nvSpPr>
      <xdr:spPr bwMode="auto">
        <a:xfrm>
          <a:off x="13926553" y="105476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332" name="Callout: Double Bent Line with Border and Accent Bar 331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/>
      </xdr:nvSpPr>
      <xdr:spPr>
        <a:xfrm>
          <a:off x="13254789" y="94949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333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>
          <a:spLocks/>
        </xdr:cNvSpPr>
      </xdr:nvSpPr>
      <xdr:spPr bwMode="auto">
        <a:xfrm>
          <a:off x="13926553" y="9494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334" name="Callout: Double Bent Line with Border and Accent Bar 333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/>
      </xdr:nvSpPr>
      <xdr:spPr>
        <a:xfrm>
          <a:off x="13254789" y="97054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335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>
          <a:spLocks/>
        </xdr:cNvSpPr>
      </xdr:nvSpPr>
      <xdr:spPr bwMode="auto">
        <a:xfrm>
          <a:off x="13926553" y="97054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498" name="Callout: Double Bent Line with Border and Accent Bar 497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/>
      </xdr:nvSpPr>
      <xdr:spPr>
        <a:xfrm>
          <a:off x="13254789" y="99160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507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>
          <a:spLocks/>
        </xdr:cNvSpPr>
      </xdr:nvSpPr>
      <xdr:spPr bwMode="auto">
        <a:xfrm>
          <a:off x="13926553" y="99160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508" name="Callout: Double Bent Line with Border and Accent Bar 507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>
        <a:xfrm>
          <a:off x="13254789" y="101265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509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>
          <a:spLocks/>
        </xdr:cNvSpPr>
      </xdr:nvSpPr>
      <xdr:spPr bwMode="auto">
        <a:xfrm>
          <a:off x="13926553" y="101265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510" name="Callout: Double Bent Line with Border and Accent Bar 509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/>
      </xdr:nvSpPr>
      <xdr:spPr>
        <a:xfrm>
          <a:off x="13254789" y="15179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511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>
          <a:spLocks/>
        </xdr:cNvSpPr>
      </xdr:nvSpPr>
      <xdr:spPr bwMode="auto">
        <a:xfrm>
          <a:off x="13926553" y="15179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512" name="Callout: Double Bent Line with Border and Accent Bar 511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>
        <a:xfrm>
          <a:off x="13254789" y="15390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524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>
          <a:spLocks/>
        </xdr:cNvSpPr>
      </xdr:nvSpPr>
      <xdr:spPr bwMode="auto">
        <a:xfrm>
          <a:off x="13926553" y="15390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525" name="Callout: Double Bent Line with Border and Accent Bar 524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/>
      </xdr:nvSpPr>
      <xdr:spPr>
        <a:xfrm>
          <a:off x="13254789" y="15600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526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>
          <a:spLocks/>
        </xdr:cNvSpPr>
      </xdr:nvSpPr>
      <xdr:spPr bwMode="auto">
        <a:xfrm>
          <a:off x="13926553" y="156009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527" name="Callout: Double Bent Line with Border and Accent Bar 526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>
        <a:xfrm>
          <a:off x="13254789" y="15811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528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>
          <a:spLocks/>
        </xdr:cNvSpPr>
      </xdr:nvSpPr>
      <xdr:spPr bwMode="auto">
        <a:xfrm>
          <a:off x="13926553" y="15811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529" name="Callout: Double Bent Line with Border and Accent Bar 528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/>
      </xdr:nvSpPr>
      <xdr:spPr>
        <a:xfrm>
          <a:off x="13254789" y="8502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530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>
          <a:spLocks/>
        </xdr:cNvSpPr>
      </xdr:nvSpPr>
      <xdr:spPr bwMode="auto">
        <a:xfrm>
          <a:off x="13926553" y="8502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531" name="Callout: Double Bent Line with Border and Accent Bar 530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>
        <a:xfrm>
          <a:off x="13254789" y="8712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532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>
          <a:spLocks/>
        </xdr:cNvSpPr>
      </xdr:nvSpPr>
      <xdr:spPr bwMode="auto">
        <a:xfrm>
          <a:off x="13926553" y="8712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533" name="Callout: Double Bent Line with Border and Accent Bar 532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/>
      </xdr:nvSpPr>
      <xdr:spPr>
        <a:xfrm>
          <a:off x="13254789" y="8923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534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>
          <a:spLocks/>
        </xdr:cNvSpPr>
      </xdr:nvSpPr>
      <xdr:spPr bwMode="auto">
        <a:xfrm>
          <a:off x="13926553" y="8923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535" name="Callout: Double Bent Line with Border and Accent Bar 534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>
        <a:xfrm>
          <a:off x="13254789" y="9133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536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>
          <a:spLocks/>
        </xdr:cNvSpPr>
      </xdr:nvSpPr>
      <xdr:spPr bwMode="auto">
        <a:xfrm>
          <a:off x="13926553" y="9133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537" name="Callout: Double Bent Line with Border and Accent Bar 53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/>
      </xdr:nvSpPr>
      <xdr:spPr>
        <a:xfrm>
          <a:off x="13254789" y="1418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538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>
          <a:spLocks/>
        </xdr:cNvSpPr>
      </xdr:nvSpPr>
      <xdr:spPr bwMode="auto">
        <a:xfrm>
          <a:off x="13926553" y="14187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539" name="Callout: Double Bent Line with Border and Accent Bar 53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>
        <a:xfrm>
          <a:off x="13254789" y="1439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540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>
          <a:spLocks/>
        </xdr:cNvSpPr>
      </xdr:nvSpPr>
      <xdr:spPr bwMode="auto">
        <a:xfrm>
          <a:off x="13926553" y="14397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541" name="Callout: Double Bent Line with Border and Accent Bar 540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/>
      </xdr:nvSpPr>
      <xdr:spPr>
        <a:xfrm>
          <a:off x="13254789" y="1460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542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>
          <a:spLocks/>
        </xdr:cNvSpPr>
      </xdr:nvSpPr>
      <xdr:spPr bwMode="auto">
        <a:xfrm>
          <a:off x="13926553" y="14608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543" name="Callout: Double Bent Line with Border and Accent Bar 542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>
        <a:xfrm>
          <a:off x="13254789" y="14818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544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>
          <a:spLocks/>
        </xdr:cNvSpPr>
      </xdr:nvSpPr>
      <xdr:spPr bwMode="auto">
        <a:xfrm>
          <a:off x="13926553" y="14818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27</xdr:col>
      <xdr:colOff>301292</xdr:colOff>
      <xdr:row>0</xdr:row>
      <xdr:rowOff>150395</xdr:rowOff>
    </xdr:from>
    <xdr:to>
      <xdr:col>29</xdr:col>
      <xdr:colOff>751974</xdr:colOff>
      <xdr:row>1</xdr:row>
      <xdr:rowOff>140369</xdr:rowOff>
    </xdr:to>
    <xdr:sp macro="[0]!AfficherFormulaire" textlink="">
      <xdr:nvSpPr>
        <xdr:cNvPr id="545" name="Rectangle à coins arrondis 7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/>
      </xdr:nvSpPr>
      <xdr:spPr>
        <a:xfrm>
          <a:off x="772529" y="150395"/>
          <a:ext cx="2846971" cy="2807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Affiche</a:t>
          </a:r>
          <a:r>
            <a:rPr lang="fr-FR" sz="1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 Formulaire avancé </a:t>
          </a:r>
          <a:endParaRPr lang="fr-FR" sz="12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546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>
          <a:spLocks/>
        </xdr:cNvSpPr>
      </xdr:nvSpPr>
      <xdr:spPr bwMode="auto">
        <a:xfrm>
          <a:off x="13565605" y="564816"/>
          <a:ext cx="304800" cy="147052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21558</xdr:colOff>
      <xdr:row>5</xdr:row>
      <xdr:rowOff>48127</xdr:rowOff>
    </xdr:from>
    <xdr:to>
      <xdr:col>39</xdr:col>
      <xdr:colOff>240632</xdr:colOff>
      <xdr:row>5</xdr:row>
      <xdr:rowOff>160421</xdr:rowOff>
    </xdr:to>
    <xdr:sp macro="" textlink="">
      <xdr:nvSpPr>
        <xdr:cNvPr id="547" name="Callout: Double Bent Line with Border and Accent Bar 546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SpPr/>
      </xdr:nvSpPr>
      <xdr:spPr>
        <a:xfrm>
          <a:off x="12915400" y="1181101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25400</xdr:rowOff>
    </xdr:from>
    <xdr:to>
      <xdr:col>40</xdr:col>
      <xdr:colOff>304800</xdr:colOff>
      <xdr:row>5</xdr:row>
      <xdr:rowOff>152400</xdr:rowOff>
    </xdr:to>
    <xdr:sp macro="[1]!CalloutLine1_Click" textlink="">
      <xdr:nvSpPr>
        <xdr:cNvPr id="548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SpPr>
          <a:spLocks/>
        </xdr:cNvSpPr>
      </xdr:nvSpPr>
      <xdr:spPr bwMode="auto">
        <a:xfrm>
          <a:off x="13565605" y="1158374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549" name="Callout: Double Bent Line with Border and Accent Bar 548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SpPr/>
      </xdr:nvSpPr>
      <xdr:spPr>
        <a:xfrm>
          <a:off x="12893842" y="13435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550" name="Callout: Double Bent Line with Border and Accent Bar 549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SpPr/>
      </xdr:nvSpPr>
      <xdr:spPr>
        <a:xfrm>
          <a:off x="12893842" y="15540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7</xdr:row>
      <xdr:rowOff>25400</xdr:rowOff>
    </xdr:from>
    <xdr:to>
      <xdr:col>40</xdr:col>
      <xdr:colOff>317500</xdr:colOff>
      <xdr:row>7</xdr:row>
      <xdr:rowOff>152400</xdr:rowOff>
    </xdr:to>
    <xdr:sp macro="[1]!CalloutLine1_Click" textlink="">
      <xdr:nvSpPr>
        <xdr:cNvPr id="551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SpPr>
          <a:spLocks/>
        </xdr:cNvSpPr>
      </xdr:nvSpPr>
      <xdr:spPr bwMode="auto">
        <a:xfrm>
          <a:off x="13578305" y="15794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552" name="Callout: Double Bent Line with Border and Accent Bar 551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SpPr/>
      </xdr:nvSpPr>
      <xdr:spPr>
        <a:xfrm>
          <a:off x="12893842" y="1764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8</xdr:row>
      <xdr:rowOff>25400</xdr:rowOff>
    </xdr:from>
    <xdr:to>
      <xdr:col>40</xdr:col>
      <xdr:colOff>317500</xdr:colOff>
      <xdr:row>8</xdr:row>
      <xdr:rowOff>152400</xdr:rowOff>
    </xdr:to>
    <xdr:sp macro="[1]!CalloutLine1_Click" textlink="">
      <xdr:nvSpPr>
        <xdr:cNvPr id="553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SpPr>
          <a:spLocks/>
        </xdr:cNvSpPr>
      </xdr:nvSpPr>
      <xdr:spPr bwMode="auto">
        <a:xfrm>
          <a:off x="13578305" y="17900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554" name="Callout: Double Bent Line with Border and Accent Bar 553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SpPr/>
      </xdr:nvSpPr>
      <xdr:spPr>
        <a:xfrm>
          <a:off x="12893842" y="1975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393700</xdr:colOff>
      <xdr:row>9</xdr:row>
      <xdr:rowOff>38100</xdr:rowOff>
    </xdr:from>
    <xdr:to>
      <xdr:col>40</xdr:col>
      <xdr:colOff>647700</xdr:colOff>
      <xdr:row>9</xdr:row>
      <xdr:rowOff>152400</xdr:rowOff>
    </xdr:to>
    <xdr:sp macro="[1]!CalloutLine1_Click" textlink="">
      <xdr:nvSpPr>
        <xdr:cNvPr id="555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SpPr>
          <a:spLocks/>
        </xdr:cNvSpPr>
      </xdr:nvSpPr>
      <xdr:spPr bwMode="auto">
        <a:xfrm>
          <a:off x="13959305" y="2013284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556" name="Callout: Double Bent Line with Border and Accent Bar 555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SpPr/>
      </xdr:nvSpPr>
      <xdr:spPr>
        <a:xfrm>
          <a:off x="12893842" y="21857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10</xdr:row>
      <xdr:rowOff>38100</xdr:rowOff>
    </xdr:from>
    <xdr:to>
      <xdr:col>40</xdr:col>
      <xdr:colOff>317500</xdr:colOff>
      <xdr:row>10</xdr:row>
      <xdr:rowOff>165100</xdr:rowOff>
    </xdr:to>
    <xdr:sp macro="[1]!CalloutLine1_Click" textlink="">
      <xdr:nvSpPr>
        <xdr:cNvPr id="557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SpPr>
          <a:spLocks/>
        </xdr:cNvSpPr>
      </xdr:nvSpPr>
      <xdr:spPr bwMode="auto">
        <a:xfrm>
          <a:off x="13578305" y="22238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558" name="Callout: Double Bent Line with Border and Accent Bar 557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SpPr/>
      </xdr:nvSpPr>
      <xdr:spPr>
        <a:xfrm>
          <a:off x="12893842" y="2606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12</xdr:row>
      <xdr:rowOff>25400</xdr:rowOff>
    </xdr:from>
    <xdr:to>
      <xdr:col>40</xdr:col>
      <xdr:colOff>317500</xdr:colOff>
      <xdr:row>12</xdr:row>
      <xdr:rowOff>152400</xdr:rowOff>
    </xdr:to>
    <xdr:sp macro="[1]!CalloutLine1_Click" textlink="">
      <xdr:nvSpPr>
        <xdr:cNvPr id="559" name="Callout: Lin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SpPr>
          <a:spLocks/>
        </xdr:cNvSpPr>
      </xdr:nvSpPr>
      <xdr:spPr bwMode="auto">
        <a:xfrm>
          <a:off x="13578305" y="26322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560" name="Callout: Double Bent Line with Border and Accent Bar 559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SpPr/>
      </xdr:nvSpPr>
      <xdr:spPr>
        <a:xfrm>
          <a:off x="12893842" y="2817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25400</xdr:rowOff>
    </xdr:from>
    <xdr:to>
      <xdr:col>40</xdr:col>
      <xdr:colOff>304800</xdr:colOff>
      <xdr:row>13</xdr:row>
      <xdr:rowOff>152400</xdr:rowOff>
    </xdr:to>
    <xdr:sp macro="[1]!CalloutLine1_Click" textlink="">
      <xdr:nvSpPr>
        <xdr:cNvPr id="561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SpPr>
          <a:spLocks/>
        </xdr:cNvSpPr>
      </xdr:nvSpPr>
      <xdr:spPr bwMode="auto">
        <a:xfrm>
          <a:off x="13565605" y="28427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562" name="Callout: Double Bent Line with Border and Accent Bar 561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SpPr/>
      </xdr:nvSpPr>
      <xdr:spPr>
        <a:xfrm>
          <a:off x="12893842" y="3027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12700</xdr:rowOff>
    </xdr:from>
    <xdr:to>
      <xdr:col>40</xdr:col>
      <xdr:colOff>304800</xdr:colOff>
      <xdr:row>14</xdr:row>
      <xdr:rowOff>139700</xdr:rowOff>
    </xdr:to>
    <xdr:sp macro="[1]!CalloutLine1_Click" textlink="">
      <xdr:nvSpPr>
        <xdr:cNvPr id="563" name="Callout: Line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SpPr>
          <a:spLocks/>
        </xdr:cNvSpPr>
      </xdr:nvSpPr>
      <xdr:spPr bwMode="auto">
        <a:xfrm>
          <a:off x="13565605" y="30406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564" name="Callout: Double Bent Line with Border and Accent Bar 563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SpPr/>
      </xdr:nvSpPr>
      <xdr:spPr>
        <a:xfrm>
          <a:off x="12893842" y="3238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17</xdr:row>
      <xdr:rowOff>0</xdr:rowOff>
    </xdr:from>
    <xdr:to>
      <xdr:col>39</xdr:col>
      <xdr:colOff>266700</xdr:colOff>
      <xdr:row>17</xdr:row>
      <xdr:rowOff>114300</xdr:rowOff>
    </xdr:to>
    <xdr:sp macro="" textlink="">
      <xdr:nvSpPr>
        <xdr:cNvPr id="565" name="Callout: Double Bent Line with Border and Accent Bar 564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SpPr/>
      </xdr:nvSpPr>
      <xdr:spPr>
        <a:xfrm>
          <a:off x="12893842" y="36596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17</xdr:row>
      <xdr:rowOff>0</xdr:rowOff>
    </xdr:from>
    <xdr:to>
      <xdr:col>40</xdr:col>
      <xdr:colOff>304800</xdr:colOff>
      <xdr:row>17</xdr:row>
      <xdr:rowOff>127000</xdr:rowOff>
    </xdr:to>
    <xdr:sp macro="[1]!CalloutLine1_Click" textlink="">
      <xdr:nvSpPr>
        <xdr:cNvPr id="566" name="Callout: Line 4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SpPr>
          <a:spLocks/>
        </xdr:cNvSpPr>
      </xdr:nvSpPr>
      <xdr:spPr bwMode="auto">
        <a:xfrm>
          <a:off x="13565605" y="36596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39</xdr:col>
      <xdr:colOff>266700</xdr:colOff>
      <xdr:row>18</xdr:row>
      <xdr:rowOff>114300</xdr:rowOff>
    </xdr:to>
    <xdr:sp macro="" textlink="">
      <xdr:nvSpPr>
        <xdr:cNvPr id="567" name="Callout: Double Bent Line with Border and Accent Bar 566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SpPr/>
      </xdr:nvSpPr>
      <xdr:spPr>
        <a:xfrm>
          <a:off x="12893842" y="38701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40</xdr:col>
      <xdr:colOff>304800</xdr:colOff>
      <xdr:row>18</xdr:row>
      <xdr:rowOff>127000</xdr:rowOff>
    </xdr:to>
    <xdr:sp macro="[1]!CalloutLine1_Click" textlink="">
      <xdr:nvSpPr>
        <xdr:cNvPr id="568" name="Callout: Line 4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SpPr>
          <a:spLocks/>
        </xdr:cNvSpPr>
      </xdr:nvSpPr>
      <xdr:spPr bwMode="auto">
        <a:xfrm>
          <a:off x="13565605" y="3870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39</xdr:col>
      <xdr:colOff>266700</xdr:colOff>
      <xdr:row>19</xdr:row>
      <xdr:rowOff>114300</xdr:rowOff>
    </xdr:to>
    <xdr:sp macro="" textlink="">
      <xdr:nvSpPr>
        <xdr:cNvPr id="569" name="Callout: Double Bent Line with Border and Accent Bar 568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SpPr/>
      </xdr:nvSpPr>
      <xdr:spPr>
        <a:xfrm>
          <a:off x="12893842" y="4080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19</xdr:row>
      <xdr:rowOff>0</xdr:rowOff>
    </xdr:from>
    <xdr:to>
      <xdr:col>40</xdr:col>
      <xdr:colOff>304800</xdr:colOff>
      <xdr:row>19</xdr:row>
      <xdr:rowOff>127000</xdr:rowOff>
    </xdr:to>
    <xdr:sp macro="[1]!CalloutLine1_Click" textlink="">
      <xdr:nvSpPr>
        <xdr:cNvPr id="570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SpPr>
          <a:spLocks/>
        </xdr:cNvSpPr>
      </xdr:nvSpPr>
      <xdr:spPr bwMode="auto">
        <a:xfrm>
          <a:off x="13565605" y="4080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39</xdr:col>
      <xdr:colOff>266700</xdr:colOff>
      <xdr:row>20</xdr:row>
      <xdr:rowOff>114300</xdr:rowOff>
    </xdr:to>
    <xdr:sp macro="" textlink="">
      <xdr:nvSpPr>
        <xdr:cNvPr id="571" name="Callout: Double Bent Line with Border and Accent Bar 570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SpPr/>
      </xdr:nvSpPr>
      <xdr:spPr>
        <a:xfrm>
          <a:off x="12893842" y="42912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39</xdr:col>
      <xdr:colOff>266700</xdr:colOff>
      <xdr:row>21</xdr:row>
      <xdr:rowOff>114300</xdr:rowOff>
    </xdr:to>
    <xdr:sp macro="" textlink="">
      <xdr:nvSpPr>
        <xdr:cNvPr id="572" name="Callout: Double Bent Line with Border and Accent Bar 571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SpPr/>
      </xdr:nvSpPr>
      <xdr:spPr>
        <a:xfrm>
          <a:off x="12893842" y="45018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40</xdr:col>
      <xdr:colOff>304800</xdr:colOff>
      <xdr:row>21</xdr:row>
      <xdr:rowOff>127000</xdr:rowOff>
    </xdr:to>
    <xdr:sp macro="[1]!CalloutLine1_Click" textlink="">
      <xdr:nvSpPr>
        <xdr:cNvPr id="573" name="Callout: Line 2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SpPr>
          <a:spLocks/>
        </xdr:cNvSpPr>
      </xdr:nvSpPr>
      <xdr:spPr bwMode="auto">
        <a:xfrm>
          <a:off x="13565605" y="4501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22</xdr:row>
      <xdr:rowOff>0</xdr:rowOff>
    </xdr:from>
    <xdr:to>
      <xdr:col>39</xdr:col>
      <xdr:colOff>266700</xdr:colOff>
      <xdr:row>22</xdr:row>
      <xdr:rowOff>114300</xdr:rowOff>
    </xdr:to>
    <xdr:sp macro="" textlink="">
      <xdr:nvSpPr>
        <xdr:cNvPr id="574" name="Callout: Double Bent Line with Border and Accent Bar 573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SpPr/>
      </xdr:nvSpPr>
      <xdr:spPr>
        <a:xfrm>
          <a:off x="12893842" y="47123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19050</xdr:colOff>
      <xdr:row>22</xdr:row>
      <xdr:rowOff>19050</xdr:rowOff>
    </xdr:from>
    <xdr:to>
      <xdr:col>40</xdr:col>
      <xdr:colOff>323850</xdr:colOff>
      <xdr:row>22</xdr:row>
      <xdr:rowOff>146050</xdr:rowOff>
    </xdr:to>
    <xdr:sp macro="[1]!CalloutLine1_Click" textlink="">
      <xdr:nvSpPr>
        <xdr:cNvPr id="575" name="Callout: Line 3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SpPr>
          <a:spLocks/>
        </xdr:cNvSpPr>
      </xdr:nvSpPr>
      <xdr:spPr bwMode="auto">
        <a:xfrm>
          <a:off x="13584655" y="473141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40</xdr:col>
      <xdr:colOff>304800</xdr:colOff>
      <xdr:row>23</xdr:row>
      <xdr:rowOff>127000</xdr:rowOff>
    </xdr:to>
    <xdr:sp macro="[1]!CalloutLine1_Click" textlink="">
      <xdr:nvSpPr>
        <xdr:cNvPr id="576" name="Callout: Line 5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SpPr>
          <a:spLocks/>
        </xdr:cNvSpPr>
      </xdr:nvSpPr>
      <xdr:spPr bwMode="auto">
        <a:xfrm>
          <a:off x="13565605" y="4922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27</xdr:row>
      <xdr:rowOff>0</xdr:rowOff>
    </xdr:from>
    <xdr:to>
      <xdr:col>39</xdr:col>
      <xdr:colOff>266700</xdr:colOff>
      <xdr:row>27</xdr:row>
      <xdr:rowOff>114300</xdr:rowOff>
    </xdr:to>
    <xdr:sp macro="" textlink="">
      <xdr:nvSpPr>
        <xdr:cNvPr id="577" name="Callout: Double Bent Line with Border and Accent Bar 576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SpPr/>
      </xdr:nvSpPr>
      <xdr:spPr>
        <a:xfrm>
          <a:off x="12893842" y="5765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27</xdr:row>
      <xdr:rowOff>0</xdr:rowOff>
    </xdr:from>
    <xdr:to>
      <xdr:col>40</xdr:col>
      <xdr:colOff>304800</xdr:colOff>
      <xdr:row>27</xdr:row>
      <xdr:rowOff>127000</xdr:rowOff>
    </xdr:to>
    <xdr:sp macro="[1]!CalloutLine1_Click" textlink="">
      <xdr:nvSpPr>
        <xdr:cNvPr id="578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SpPr>
          <a:spLocks/>
        </xdr:cNvSpPr>
      </xdr:nvSpPr>
      <xdr:spPr bwMode="auto">
        <a:xfrm>
          <a:off x="13565605" y="57651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28</xdr:row>
      <xdr:rowOff>0</xdr:rowOff>
    </xdr:from>
    <xdr:to>
      <xdr:col>39</xdr:col>
      <xdr:colOff>266700</xdr:colOff>
      <xdr:row>28</xdr:row>
      <xdr:rowOff>114300</xdr:rowOff>
    </xdr:to>
    <xdr:sp macro="" textlink="">
      <xdr:nvSpPr>
        <xdr:cNvPr id="579" name="Callout: Double Bent Line with Border and Accent Bar 578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SpPr/>
      </xdr:nvSpPr>
      <xdr:spPr>
        <a:xfrm>
          <a:off x="12893842" y="5975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40</xdr:col>
      <xdr:colOff>304800</xdr:colOff>
      <xdr:row>28</xdr:row>
      <xdr:rowOff>127000</xdr:rowOff>
    </xdr:to>
    <xdr:sp macro="[1]!CalloutLine1_Click" textlink="">
      <xdr:nvSpPr>
        <xdr:cNvPr id="580" name="Callout: Line 7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SpPr>
          <a:spLocks/>
        </xdr:cNvSpPr>
      </xdr:nvSpPr>
      <xdr:spPr bwMode="auto">
        <a:xfrm>
          <a:off x="13565605" y="59756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29</xdr:row>
      <xdr:rowOff>0</xdr:rowOff>
    </xdr:from>
    <xdr:to>
      <xdr:col>39</xdr:col>
      <xdr:colOff>266700</xdr:colOff>
      <xdr:row>29</xdr:row>
      <xdr:rowOff>114300</xdr:rowOff>
    </xdr:to>
    <xdr:sp macro="" textlink="">
      <xdr:nvSpPr>
        <xdr:cNvPr id="581" name="Callout: Double Bent Line with Border and Accent Bar 580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SpPr/>
      </xdr:nvSpPr>
      <xdr:spPr>
        <a:xfrm>
          <a:off x="12893842" y="6186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40</xdr:col>
      <xdr:colOff>304800</xdr:colOff>
      <xdr:row>29</xdr:row>
      <xdr:rowOff>127000</xdr:rowOff>
    </xdr:to>
    <xdr:sp macro="[1]!CalloutLine1_Click" textlink="">
      <xdr:nvSpPr>
        <xdr:cNvPr id="582" name="Callout: Line 7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SpPr>
          <a:spLocks/>
        </xdr:cNvSpPr>
      </xdr:nvSpPr>
      <xdr:spPr bwMode="auto">
        <a:xfrm>
          <a:off x="13565605" y="6186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30</xdr:row>
      <xdr:rowOff>0</xdr:rowOff>
    </xdr:from>
    <xdr:to>
      <xdr:col>39</xdr:col>
      <xdr:colOff>266700</xdr:colOff>
      <xdr:row>30</xdr:row>
      <xdr:rowOff>114300</xdr:rowOff>
    </xdr:to>
    <xdr:sp macro="" textlink="">
      <xdr:nvSpPr>
        <xdr:cNvPr id="583" name="Callout: Double Bent Line with Border and Accent Bar 582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SpPr/>
      </xdr:nvSpPr>
      <xdr:spPr>
        <a:xfrm>
          <a:off x="12893842" y="6396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30</xdr:row>
      <xdr:rowOff>0</xdr:rowOff>
    </xdr:from>
    <xdr:to>
      <xdr:col>40</xdr:col>
      <xdr:colOff>304800</xdr:colOff>
      <xdr:row>30</xdr:row>
      <xdr:rowOff>127000</xdr:rowOff>
    </xdr:to>
    <xdr:sp macro="[1]!CalloutLine1_Click" textlink="">
      <xdr:nvSpPr>
        <xdr:cNvPr id="584" name="Callout: Line 7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SpPr>
          <a:spLocks/>
        </xdr:cNvSpPr>
      </xdr:nvSpPr>
      <xdr:spPr bwMode="auto">
        <a:xfrm>
          <a:off x="13565605" y="6396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32</xdr:row>
      <xdr:rowOff>0</xdr:rowOff>
    </xdr:from>
    <xdr:to>
      <xdr:col>39</xdr:col>
      <xdr:colOff>266700</xdr:colOff>
      <xdr:row>32</xdr:row>
      <xdr:rowOff>114300</xdr:rowOff>
    </xdr:to>
    <xdr:sp macro="" textlink="">
      <xdr:nvSpPr>
        <xdr:cNvPr id="585" name="Callout: Double Bent Line with Border and Accent Bar 584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SpPr/>
      </xdr:nvSpPr>
      <xdr:spPr>
        <a:xfrm>
          <a:off x="12893842" y="6817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32</xdr:row>
      <xdr:rowOff>0</xdr:rowOff>
    </xdr:from>
    <xdr:to>
      <xdr:col>40</xdr:col>
      <xdr:colOff>304800</xdr:colOff>
      <xdr:row>32</xdr:row>
      <xdr:rowOff>127000</xdr:rowOff>
    </xdr:to>
    <xdr:sp macro="[1]!CalloutLine1_Click" textlink="">
      <xdr:nvSpPr>
        <xdr:cNvPr id="586" name="Callout: Line 4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SpPr>
          <a:spLocks/>
        </xdr:cNvSpPr>
      </xdr:nvSpPr>
      <xdr:spPr bwMode="auto">
        <a:xfrm>
          <a:off x="13565605" y="6817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33</xdr:row>
      <xdr:rowOff>0</xdr:rowOff>
    </xdr:from>
    <xdr:to>
      <xdr:col>39</xdr:col>
      <xdr:colOff>266700</xdr:colOff>
      <xdr:row>33</xdr:row>
      <xdr:rowOff>114300</xdr:rowOff>
    </xdr:to>
    <xdr:sp macro="" textlink="">
      <xdr:nvSpPr>
        <xdr:cNvPr id="587" name="Callout: Double Bent Line with Border and Accent Bar 586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SpPr/>
      </xdr:nvSpPr>
      <xdr:spPr>
        <a:xfrm>
          <a:off x="12893842" y="70284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33</xdr:row>
      <xdr:rowOff>0</xdr:rowOff>
    </xdr:from>
    <xdr:to>
      <xdr:col>40</xdr:col>
      <xdr:colOff>304800</xdr:colOff>
      <xdr:row>33</xdr:row>
      <xdr:rowOff>127000</xdr:rowOff>
    </xdr:to>
    <xdr:sp macro="[1]!CalloutLine1_Click" textlink="">
      <xdr:nvSpPr>
        <xdr:cNvPr id="588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SpPr>
          <a:spLocks/>
        </xdr:cNvSpPr>
      </xdr:nvSpPr>
      <xdr:spPr bwMode="auto">
        <a:xfrm>
          <a:off x="13565605" y="70284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34</xdr:row>
      <xdr:rowOff>0</xdr:rowOff>
    </xdr:from>
    <xdr:to>
      <xdr:col>39</xdr:col>
      <xdr:colOff>266700</xdr:colOff>
      <xdr:row>34</xdr:row>
      <xdr:rowOff>114300</xdr:rowOff>
    </xdr:to>
    <xdr:sp macro="" textlink="">
      <xdr:nvSpPr>
        <xdr:cNvPr id="589" name="Callout: Double Bent Line with Border and Accent Bar 588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SpPr/>
      </xdr:nvSpPr>
      <xdr:spPr>
        <a:xfrm>
          <a:off x="12893842" y="72390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34</xdr:row>
      <xdr:rowOff>0</xdr:rowOff>
    </xdr:from>
    <xdr:to>
      <xdr:col>40</xdr:col>
      <xdr:colOff>304800</xdr:colOff>
      <xdr:row>34</xdr:row>
      <xdr:rowOff>127000</xdr:rowOff>
    </xdr:to>
    <xdr:sp macro="[1]!CalloutLine1_Click" textlink="">
      <xdr:nvSpPr>
        <xdr:cNvPr id="590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SpPr>
          <a:spLocks/>
        </xdr:cNvSpPr>
      </xdr:nvSpPr>
      <xdr:spPr bwMode="auto">
        <a:xfrm>
          <a:off x="13565605" y="72390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35</xdr:row>
      <xdr:rowOff>0</xdr:rowOff>
    </xdr:from>
    <xdr:to>
      <xdr:col>39</xdr:col>
      <xdr:colOff>266700</xdr:colOff>
      <xdr:row>35</xdr:row>
      <xdr:rowOff>114300</xdr:rowOff>
    </xdr:to>
    <xdr:sp macro="" textlink="">
      <xdr:nvSpPr>
        <xdr:cNvPr id="591" name="Callout: Double Bent Line with Border and Accent Bar 590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SpPr/>
      </xdr:nvSpPr>
      <xdr:spPr>
        <a:xfrm>
          <a:off x="12893842" y="74495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35</xdr:row>
      <xdr:rowOff>0</xdr:rowOff>
    </xdr:from>
    <xdr:to>
      <xdr:col>40</xdr:col>
      <xdr:colOff>304800</xdr:colOff>
      <xdr:row>35</xdr:row>
      <xdr:rowOff>127000</xdr:rowOff>
    </xdr:to>
    <xdr:sp macro="[1]!CalloutLine1_Click" textlink="">
      <xdr:nvSpPr>
        <xdr:cNvPr id="592" name="Callout: Line 4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SpPr>
          <a:spLocks/>
        </xdr:cNvSpPr>
      </xdr:nvSpPr>
      <xdr:spPr bwMode="auto">
        <a:xfrm>
          <a:off x="13565605" y="74495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36</xdr:row>
      <xdr:rowOff>0</xdr:rowOff>
    </xdr:from>
    <xdr:to>
      <xdr:col>39</xdr:col>
      <xdr:colOff>266700</xdr:colOff>
      <xdr:row>36</xdr:row>
      <xdr:rowOff>114300</xdr:rowOff>
    </xdr:to>
    <xdr:sp macro="" textlink="">
      <xdr:nvSpPr>
        <xdr:cNvPr id="593" name="Callout: Double Bent Line with Border and Accent Bar 592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SpPr/>
      </xdr:nvSpPr>
      <xdr:spPr>
        <a:xfrm>
          <a:off x="12893842" y="76601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36</xdr:row>
      <xdr:rowOff>0</xdr:rowOff>
    </xdr:from>
    <xdr:to>
      <xdr:col>40</xdr:col>
      <xdr:colOff>304800</xdr:colOff>
      <xdr:row>36</xdr:row>
      <xdr:rowOff>127000</xdr:rowOff>
    </xdr:to>
    <xdr:sp macro="[1]!CalloutLine1_Click" textlink="">
      <xdr:nvSpPr>
        <xdr:cNvPr id="594" name="Callout: Line 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SpPr>
          <a:spLocks/>
        </xdr:cNvSpPr>
      </xdr:nvSpPr>
      <xdr:spPr bwMode="auto">
        <a:xfrm>
          <a:off x="13565605" y="76601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37</xdr:row>
      <xdr:rowOff>0</xdr:rowOff>
    </xdr:from>
    <xdr:to>
      <xdr:col>40</xdr:col>
      <xdr:colOff>304800</xdr:colOff>
      <xdr:row>37</xdr:row>
      <xdr:rowOff>127000</xdr:rowOff>
    </xdr:to>
    <xdr:sp macro="[1]!CalloutLine1_Click" textlink="">
      <xdr:nvSpPr>
        <xdr:cNvPr id="595" name="Callout: Line 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SpPr>
          <a:spLocks/>
        </xdr:cNvSpPr>
      </xdr:nvSpPr>
      <xdr:spPr bwMode="auto">
        <a:xfrm>
          <a:off x="13565605" y="78706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38</xdr:row>
      <xdr:rowOff>0</xdr:rowOff>
    </xdr:from>
    <xdr:to>
      <xdr:col>39</xdr:col>
      <xdr:colOff>266700</xdr:colOff>
      <xdr:row>38</xdr:row>
      <xdr:rowOff>114300</xdr:rowOff>
    </xdr:to>
    <xdr:sp macro="" textlink="">
      <xdr:nvSpPr>
        <xdr:cNvPr id="596" name="Callout: Double Bent Line with Border and Accent Bar 595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SpPr/>
      </xdr:nvSpPr>
      <xdr:spPr>
        <a:xfrm>
          <a:off x="12893842" y="80812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38</xdr:row>
      <xdr:rowOff>0</xdr:rowOff>
    </xdr:from>
    <xdr:to>
      <xdr:col>40</xdr:col>
      <xdr:colOff>304800</xdr:colOff>
      <xdr:row>38</xdr:row>
      <xdr:rowOff>127000</xdr:rowOff>
    </xdr:to>
    <xdr:sp macro="[1]!CalloutLine1_Click" textlink="">
      <xdr:nvSpPr>
        <xdr:cNvPr id="597" name="Callout: Line 72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SpPr>
          <a:spLocks/>
        </xdr:cNvSpPr>
      </xdr:nvSpPr>
      <xdr:spPr bwMode="auto">
        <a:xfrm>
          <a:off x="13565605" y="80812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39</xdr:row>
      <xdr:rowOff>0</xdr:rowOff>
    </xdr:from>
    <xdr:to>
      <xdr:col>39</xdr:col>
      <xdr:colOff>266700</xdr:colOff>
      <xdr:row>39</xdr:row>
      <xdr:rowOff>114300</xdr:rowOff>
    </xdr:to>
    <xdr:sp macro="" textlink="">
      <xdr:nvSpPr>
        <xdr:cNvPr id="598" name="Callout: Double Bent Line with Border and Accent Bar 59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SpPr/>
      </xdr:nvSpPr>
      <xdr:spPr>
        <a:xfrm>
          <a:off x="12893842" y="82917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39</xdr:row>
      <xdr:rowOff>0</xdr:rowOff>
    </xdr:from>
    <xdr:to>
      <xdr:col>40</xdr:col>
      <xdr:colOff>304800</xdr:colOff>
      <xdr:row>39</xdr:row>
      <xdr:rowOff>127000</xdr:rowOff>
    </xdr:to>
    <xdr:sp macro="[1]!CalloutLine1_Click" textlink="">
      <xdr:nvSpPr>
        <xdr:cNvPr id="599" name="Callout: Line 7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SpPr>
          <a:spLocks/>
        </xdr:cNvSpPr>
      </xdr:nvSpPr>
      <xdr:spPr bwMode="auto">
        <a:xfrm>
          <a:off x="13565605" y="82917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40</xdr:row>
      <xdr:rowOff>0</xdr:rowOff>
    </xdr:from>
    <xdr:to>
      <xdr:col>39</xdr:col>
      <xdr:colOff>266700</xdr:colOff>
      <xdr:row>40</xdr:row>
      <xdr:rowOff>114300</xdr:rowOff>
    </xdr:to>
    <xdr:sp macro="" textlink="">
      <xdr:nvSpPr>
        <xdr:cNvPr id="600" name="Callout: Double Bent Line with Border and Accent Bar 599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SpPr/>
      </xdr:nvSpPr>
      <xdr:spPr>
        <a:xfrm>
          <a:off x="12893842" y="8502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40</xdr:row>
      <xdr:rowOff>0</xdr:rowOff>
    </xdr:from>
    <xdr:to>
      <xdr:col>40</xdr:col>
      <xdr:colOff>304800</xdr:colOff>
      <xdr:row>40</xdr:row>
      <xdr:rowOff>127000</xdr:rowOff>
    </xdr:to>
    <xdr:sp macro="[1]!CalloutLine1_Click" textlink="">
      <xdr:nvSpPr>
        <xdr:cNvPr id="601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SpPr>
          <a:spLocks/>
        </xdr:cNvSpPr>
      </xdr:nvSpPr>
      <xdr:spPr bwMode="auto">
        <a:xfrm>
          <a:off x="13565605" y="8502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41</xdr:row>
      <xdr:rowOff>0</xdr:rowOff>
    </xdr:from>
    <xdr:to>
      <xdr:col>39</xdr:col>
      <xdr:colOff>266700</xdr:colOff>
      <xdr:row>41</xdr:row>
      <xdr:rowOff>114300</xdr:rowOff>
    </xdr:to>
    <xdr:sp macro="" textlink="">
      <xdr:nvSpPr>
        <xdr:cNvPr id="602" name="Callout: Double Bent Line with Border and Accent Bar 601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SpPr/>
      </xdr:nvSpPr>
      <xdr:spPr>
        <a:xfrm>
          <a:off x="12893842" y="8712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41</xdr:row>
      <xdr:rowOff>0</xdr:rowOff>
    </xdr:from>
    <xdr:to>
      <xdr:col>40</xdr:col>
      <xdr:colOff>304800</xdr:colOff>
      <xdr:row>41</xdr:row>
      <xdr:rowOff>127000</xdr:rowOff>
    </xdr:to>
    <xdr:sp macro="[1]!CalloutLine1_Click" textlink="">
      <xdr:nvSpPr>
        <xdr:cNvPr id="603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SpPr>
          <a:spLocks/>
        </xdr:cNvSpPr>
      </xdr:nvSpPr>
      <xdr:spPr bwMode="auto">
        <a:xfrm>
          <a:off x="13565605" y="8712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42</xdr:row>
      <xdr:rowOff>0</xdr:rowOff>
    </xdr:from>
    <xdr:to>
      <xdr:col>39</xdr:col>
      <xdr:colOff>266700</xdr:colOff>
      <xdr:row>42</xdr:row>
      <xdr:rowOff>114300</xdr:rowOff>
    </xdr:to>
    <xdr:sp macro="" textlink="">
      <xdr:nvSpPr>
        <xdr:cNvPr id="604" name="Callout: Double Bent Line with Border and Accent Bar 603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SpPr/>
      </xdr:nvSpPr>
      <xdr:spPr>
        <a:xfrm>
          <a:off x="12893842" y="8923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42</xdr:row>
      <xdr:rowOff>0</xdr:rowOff>
    </xdr:from>
    <xdr:to>
      <xdr:col>40</xdr:col>
      <xdr:colOff>304800</xdr:colOff>
      <xdr:row>42</xdr:row>
      <xdr:rowOff>127000</xdr:rowOff>
    </xdr:to>
    <xdr:sp macro="[1]!CalloutLine1_Click" textlink="">
      <xdr:nvSpPr>
        <xdr:cNvPr id="605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SpPr>
          <a:spLocks/>
        </xdr:cNvSpPr>
      </xdr:nvSpPr>
      <xdr:spPr bwMode="auto">
        <a:xfrm>
          <a:off x="13565605" y="8923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43</xdr:row>
      <xdr:rowOff>0</xdr:rowOff>
    </xdr:from>
    <xdr:to>
      <xdr:col>39</xdr:col>
      <xdr:colOff>266700</xdr:colOff>
      <xdr:row>43</xdr:row>
      <xdr:rowOff>114300</xdr:rowOff>
    </xdr:to>
    <xdr:sp macro="" textlink="">
      <xdr:nvSpPr>
        <xdr:cNvPr id="606" name="Callout: Double Bent Line with Border and Accent Bar 605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SpPr/>
      </xdr:nvSpPr>
      <xdr:spPr>
        <a:xfrm>
          <a:off x="12893842" y="9133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43</xdr:row>
      <xdr:rowOff>0</xdr:rowOff>
    </xdr:from>
    <xdr:to>
      <xdr:col>40</xdr:col>
      <xdr:colOff>304800</xdr:colOff>
      <xdr:row>43</xdr:row>
      <xdr:rowOff>127000</xdr:rowOff>
    </xdr:to>
    <xdr:sp macro="[1]!CalloutLine1_Click" textlink="">
      <xdr:nvSpPr>
        <xdr:cNvPr id="607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SpPr>
          <a:spLocks/>
        </xdr:cNvSpPr>
      </xdr:nvSpPr>
      <xdr:spPr bwMode="auto">
        <a:xfrm>
          <a:off x="13565605" y="9133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44</xdr:row>
      <xdr:rowOff>0</xdr:rowOff>
    </xdr:from>
    <xdr:to>
      <xdr:col>39</xdr:col>
      <xdr:colOff>266700</xdr:colOff>
      <xdr:row>44</xdr:row>
      <xdr:rowOff>114300</xdr:rowOff>
    </xdr:to>
    <xdr:sp macro="" textlink="">
      <xdr:nvSpPr>
        <xdr:cNvPr id="608" name="Callout: Double Bent Line with Border and Accent Bar 607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SpPr/>
      </xdr:nvSpPr>
      <xdr:spPr>
        <a:xfrm>
          <a:off x="12893842" y="93445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44</xdr:row>
      <xdr:rowOff>0</xdr:rowOff>
    </xdr:from>
    <xdr:to>
      <xdr:col>40</xdr:col>
      <xdr:colOff>304800</xdr:colOff>
      <xdr:row>44</xdr:row>
      <xdr:rowOff>127000</xdr:rowOff>
    </xdr:to>
    <xdr:sp macro="[1]!CalloutLine1_Click" textlink="">
      <xdr:nvSpPr>
        <xdr:cNvPr id="609" name="Callout: Lin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SpPr>
          <a:spLocks/>
        </xdr:cNvSpPr>
      </xdr:nvSpPr>
      <xdr:spPr bwMode="auto">
        <a:xfrm>
          <a:off x="13565605" y="93445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45</xdr:row>
      <xdr:rowOff>0</xdr:rowOff>
    </xdr:from>
    <xdr:to>
      <xdr:col>39</xdr:col>
      <xdr:colOff>266700</xdr:colOff>
      <xdr:row>45</xdr:row>
      <xdr:rowOff>114300</xdr:rowOff>
    </xdr:to>
    <xdr:sp macro="" textlink="">
      <xdr:nvSpPr>
        <xdr:cNvPr id="610" name="Callout: Double Bent Line with Border and Accent Bar 609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SpPr/>
      </xdr:nvSpPr>
      <xdr:spPr>
        <a:xfrm>
          <a:off x="12893842" y="95550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45</xdr:row>
      <xdr:rowOff>0</xdr:rowOff>
    </xdr:from>
    <xdr:to>
      <xdr:col>40</xdr:col>
      <xdr:colOff>304800</xdr:colOff>
      <xdr:row>45</xdr:row>
      <xdr:rowOff>127000</xdr:rowOff>
    </xdr:to>
    <xdr:sp macro="[1]!CalloutLine1_Click" textlink="">
      <xdr:nvSpPr>
        <xdr:cNvPr id="611" name="Callout: Lin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SpPr>
          <a:spLocks/>
        </xdr:cNvSpPr>
      </xdr:nvSpPr>
      <xdr:spPr bwMode="auto">
        <a:xfrm>
          <a:off x="13565605" y="95550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46</xdr:row>
      <xdr:rowOff>0</xdr:rowOff>
    </xdr:from>
    <xdr:to>
      <xdr:col>39</xdr:col>
      <xdr:colOff>266700</xdr:colOff>
      <xdr:row>46</xdr:row>
      <xdr:rowOff>114300</xdr:rowOff>
    </xdr:to>
    <xdr:sp macro="" textlink="">
      <xdr:nvSpPr>
        <xdr:cNvPr id="612" name="Callout: Double Bent Line with Border and Accent Bar 611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SpPr/>
      </xdr:nvSpPr>
      <xdr:spPr>
        <a:xfrm>
          <a:off x="12893842" y="9765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46</xdr:row>
      <xdr:rowOff>0</xdr:rowOff>
    </xdr:from>
    <xdr:to>
      <xdr:col>40</xdr:col>
      <xdr:colOff>304800</xdr:colOff>
      <xdr:row>46</xdr:row>
      <xdr:rowOff>127000</xdr:rowOff>
    </xdr:to>
    <xdr:sp macro="[1]!CalloutLine1_Click" textlink="">
      <xdr:nvSpPr>
        <xdr:cNvPr id="613" name="Callout: Lin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SpPr>
          <a:spLocks/>
        </xdr:cNvSpPr>
      </xdr:nvSpPr>
      <xdr:spPr bwMode="auto">
        <a:xfrm>
          <a:off x="13565605" y="9765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47</xdr:row>
      <xdr:rowOff>0</xdr:rowOff>
    </xdr:from>
    <xdr:to>
      <xdr:col>39</xdr:col>
      <xdr:colOff>266700</xdr:colOff>
      <xdr:row>47</xdr:row>
      <xdr:rowOff>114300</xdr:rowOff>
    </xdr:to>
    <xdr:sp macro="" textlink="">
      <xdr:nvSpPr>
        <xdr:cNvPr id="614" name="Callout: Double Bent Line with Border and Accent Bar 613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SpPr/>
      </xdr:nvSpPr>
      <xdr:spPr>
        <a:xfrm>
          <a:off x="12893842" y="9976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47</xdr:row>
      <xdr:rowOff>0</xdr:rowOff>
    </xdr:from>
    <xdr:to>
      <xdr:col>40</xdr:col>
      <xdr:colOff>304800</xdr:colOff>
      <xdr:row>47</xdr:row>
      <xdr:rowOff>127000</xdr:rowOff>
    </xdr:to>
    <xdr:sp macro="[1]!CalloutLine1_Click" textlink="">
      <xdr:nvSpPr>
        <xdr:cNvPr id="615" name="Callout: Line 2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SpPr>
          <a:spLocks/>
        </xdr:cNvSpPr>
      </xdr:nvSpPr>
      <xdr:spPr bwMode="auto">
        <a:xfrm>
          <a:off x="13565605" y="99761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48</xdr:row>
      <xdr:rowOff>0</xdr:rowOff>
    </xdr:from>
    <xdr:to>
      <xdr:col>39</xdr:col>
      <xdr:colOff>266700</xdr:colOff>
      <xdr:row>48</xdr:row>
      <xdr:rowOff>114300</xdr:rowOff>
    </xdr:to>
    <xdr:sp macro="" textlink="">
      <xdr:nvSpPr>
        <xdr:cNvPr id="616" name="Callout: Double Bent Line with Border and Accent Bar 615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>
        <a:xfrm>
          <a:off x="12893842" y="101867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48</xdr:row>
      <xdr:rowOff>0</xdr:rowOff>
    </xdr:from>
    <xdr:to>
      <xdr:col>40</xdr:col>
      <xdr:colOff>304800</xdr:colOff>
      <xdr:row>48</xdr:row>
      <xdr:rowOff>127000</xdr:rowOff>
    </xdr:to>
    <xdr:sp macro="[1]!CalloutLine1_Click" textlink="">
      <xdr:nvSpPr>
        <xdr:cNvPr id="617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SpPr>
          <a:spLocks/>
        </xdr:cNvSpPr>
      </xdr:nvSpPr>
      <xdr:spPr bwMode="auto">
        <a:xfrm>
          <a:off x="13565605" y="101867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49</xdr:row>
      <xdr:rowOff>0</xdr:rowOff>
    </xdr:from>
    <xdr:to>
      <xdr:col>39</xdr:col>
      <xdr:colOff>266700</xdr:colOff>
      <xdr:row>49</xdr:row>
      <xdr:rowOff>114300</xdr:rowOff>
    </xdr:to>
    <xdr:sp macro="" textlink="">
      <xdr:nvSpPr>
        <xdr:cNvPr id="618" name="Callout: Double Bent Line with Border and Accent Bar 617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SpPr/>
      </xdr:nvSpPr>
      <xdr:spPr>
        <a:xfrm>
          <a:off x="12893842" y="103972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49</xdr:row>
      <xdr:rowOff>0</xdr:rowOff>
    </xdr:from>
    <xdr:to>
      <xdr:col>40</xdr:col>
      <xdr:colOff>304800</xdr:colOff>
      <xdr:row>49</xdr:row>
      <xdr:rowOff>127000</xdr:rowOff>
    </xdr:to>
    <xdr:sp macro="[1]!CalloutLine1_Click" textlink="">
      <xdr:nvSpPr>
        <xdr:cNvPr id="619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SpPr>
          <a:spLocks/>
        </xdr:cNvSpPr>
      </xdr:nvSpPr>
      <xdr:spPr bwMode="auto">
        <a:xfrm>
          <a:off x="13565605" y="103972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50</xdr:row>
      <xdr:rowOff>0</xdr:rowOff>
    </xdr:from>
    <xdr:to>
      <xdr:col>39</xdr:col>
      <xdr:colOff>266700</xdr:colOff>
      <xdr:row>50</xdr:row>
      <xdr:rowOff>114300</xdr:rowOff>
    </xdr:to>
    <xdr:sp macro="" textlink="">
      <xdr:nvSpPr>
        <xdr:cNvPr id="620" name="Callout: Double Bent Line with Border and Accent Bar 619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SpPr/>
      </xdr:nvSpPr>
      <xdr:spPr>
        <a:xfrm>
          <a:off x="12893842" y="10607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50</xdr:row>
      <xdr:rowOff>0</xdr:rowOff>
    </xdr:from>
    <xdr:to>
      <xdr:col>40</xdr:col>
      <xdr:colOff>304800</xdr:colOff>
      <xdr:row>50</xdr:row>
      <xdr:rowOff>127000</xdr:rowOff>
    </xdr:to>
    <xdr:sp macro="[1]!CalloutLine1_Click" textlink="">
      <xdr:nvSpPr>
        <xdr:cNvPr id="621" name="Callout: Line 7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SpPr>
          <a:spLocks/>
        </xdr:cNvSpPr>
      </xdr:nvSpPr>
      <xdr:spPr bwMode="auto">
        <a:xfrm>
          <a:off x="13565605" y="10607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51</xdr:row>
      <xdr:rowOff>0</xdr:rowOff>
    </xdr:from>
    <xdr:to>
      <xdr:col>39</xdr:col>
      <xdr:colOff>266700</xdr:colOff>
      <xdr:row>51</xdr:row>
      <xdr:rowOff>114300</xdr:rowOff>
    </xdr:to>
    <xdr:sp macro="" textlink="">
      <xdr:nvSpPr>
        <xdr:cNvPr id="622" name="Callout: Double Bent Line with Border and Accent Bar 621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SpPr/>
      </xdr:nvSpPr>
      <xdr:spPr>
        <a:xfrm>
          <a:off x="12893842" y="10818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51</xdr:row>
      <xdr:rowOff>0</xdr:rowOff>
    </xdr:from>
    <xdr:to>
      <xdr:col>40</xdr:col>
      <xdr:colOff>304800</xdr:colOff>
      <xdr:row>51</xdr:row>
      <xdr:rowOff>127000</xdr:rowOff>
    </xdr:to>
    <xdr:sp macro="[1]!CalloutLine1_Click" textlink="">
      <xdr:nvSpPr>
        <xdr:cNvPr id="623" name="Callout: Line 73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SpPr>
          <a:spLocks/>
        </xdr:cNvSpPr>
      </xdr:nvSpPr>
      <xdr:spPr bwMode="auto">
        <a:xfrm>
          <a:off x="13565605" y="10818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52</xdr:row>
      <xdr:rowOff>0</xdr:rowOff>
    </xdr:from>
    <xdr:to>
      <xdr:col>39</xdr:col>
      <xdr:colOff>266700</xdr:colOff>
      <xdr:row>52</xdr:row>
      <xdr:rowOff>114300</xdr:rowOff>
    </xdr:to>
    <xdr:sp macro="" textlink="">
      <xdr:nvSpPr>
        <xdr:cNvPr id="624" name="Callout: Double Bent Line with Border and Accent Bar 62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SpPr/>
      </xdr:nvSpPr>
      <xdr:spPr>
        <a:xfrm>
          <a:off x="12893842" y="11028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52</xdr:row>
      <xdr:rowOff>9525</xdr:rowOff>
    </xdr:from>
    <xdr:to>
      <xdr:col>40</xdr:col>
      <xdr:colOff>314325</xdr:colOff>
      <xdr:row>52</xdr:row>
      <xdr:rowOff>161925</xdr:rowOff>
    </xdr:to>
    <xdr:sp macro="[1]!CalloutLine1_Click" textlink="">
      <xdr:nvSpPr>
        <xdr:cNvPr id="625" name="Callout: Line 6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SpPr>
          <a:spLocks/>
        </xdr:cNvSpPr>
      </xdr:nvSpPr>
      <xdr:spPr bwMode="auto">
        <a:xfrm>
          <a:off x="13575130" y="11038472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53</xdr:row>
      <xdr:rowOff>0</xdr:rowOff>
    </xdr:from>
    <xdr:to>
      <xdr:col>39</xdr:col>
      <xdr:colOff>266700</xdr:colOff>
      <xdr:row>53</xdr:row>
      <xdr:rowOff>114300</xdr:rowOff>
    </xdr:to>
    <xdr:sp macro="" textlink="">
      <xdr:nvSpPr>
        <xdr:cNvPr id="626" name="Callout: Double Bent Line with Border and Accent Bar 625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SpPr/>
      </xdr:nvSpPr>
      <xdr:spPr>
        <a:xfrm>
          <a:off x="12893842" y="11239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53</xdr:row>
      <xdr:rowOff>19050</xdr:rowOff>
    </xdr:from>
    <xdr:to>
      <xdr:col>40</xdr:col>
      <xdr:colOff>314325</xdr:colOff>
      <xdr:row>53</xdr:row>
      <xdr:rowOff>146050</xdr:rowOff>
    </xdr:to>
    <xdr:sp macro="[1]!CalloutLine1_Click" textlink="">
      <xdr:nvSpPr>
        <xdr:cNvPr id="627" name="Callout: Line 72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SpPr>
          <a:spLocks/>
        </xdr:cNvSpPr>
      </xdr:nvSpPr>
      <xdr:spPr bwMode="auto">
        <a:xfrm>
          <a:off x="13575130" y="1125855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54</xdr:row>
      <xdr:rowOff>0</xdr:rowOff>
    </xdr:from>
    <xdr:to>
      <xdr:col>39</xdr:col>
      <xdr:colOff>266700</xdr:colOff>
      <xdr:row>54</xdr:row>
      <xdr:rowOff>114300</xdr:rowOff>
    </xdr:to>
    <xdr:sp macro="" textlink="">
      <xdr:nvSpPr>
        <xdr:cNvPr id="628" name="Callout: Double Bent Line with Border and Accent Bar 627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SpPr/>
      </xdr:nvSpPr>
      <xdr:spPr>
        <a:xfrm>
          <a:off x="12893842" y="114500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54</xdr:row>
      <xdr:rowOff>19050</xdr:rowOff>
    </xdr:from>
    <xdr:to>
      <xdr:col>40</xdr:col>
      <xdr:colOff>304800</xdr:colOff>
      <xdr:row>54</xdr:row>
      <xdr:rowOff>146050</xdr:rowOff>
    </xdr:to>
    <xdr:sp macro="[1]!CalloutLine1_Click" textlink="">
      <xdr:nvSpPr>
        <xdr:cNvPr id="632" name="Callout: Line 7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SpPr>
          <a:spLocks/>
        </xdr:cNvSpPr>
      </xdr:nvSpPr>
      <xdr:spPr bwMode="auto">
        <a:xfrm>
          <a:off x="13565605" y="114691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55</xdr:row>
      <xdr:rowOff>0</xdr:rowOff>
    </xdr:from>
    <xdr:to>
      <xdr:col>39</xdr:col>
      <xdr:colOff>266700</xdr:colOff>
      <xdr:row>55</xdr:row>
      <xdr:rowOff>114300</xdr:rowOff>
    </xdr:to>
    <xdr:sp macro="" textlink="">
      <xdr:nvSpPr>
        <xdr:cNvPr id="633" name="Callout: Double Bent Line with Border and Accent Bar 632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SpPr/>
      </xdr:nvSpPr>
      <xdr:spPr>
        <a:xfrm>
          <a:off x="12893842" y="116606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55</xdr:row>
      <xdr:rowOff>9525</xdr:rowOff>
    </xdr:from>
    <xdr:to>
      <xdr:col>40</xdr:col>
      <xdr:colOff>304800</xdr:colOff>
      <xdr:row>55</xdr:row>
      <xdr:rowOff>161925</xdr:rowOff>
    </xdr:to>
    <xdr:sp macro="[1]!CalloutLine1_Click" textlink="">
      <xdr:nvSpPr>
        <xdr:cNvPr id="634" name="Callout: Line 6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SpPr>
          <a:spLocks/>
        </xdr:cNvSpPr>
      </xdr:nvSpPr>
      <xdr:spPr bwMode="auto">
        <a:xfrm>
          <a:off x="13565605" y="11670130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56</xdr:row>
      <xdr:rowOff>0</xdr:rowOff>
    </xdr:from>
    <xdr:to>
      <xdr:col>39</xdr:col>
      <xdr:colOff>266700</xdr:colOff>
      <xdr:row>56</xdr:row>
      <xdr:rowOff>114300</xdr:rowOff>
    </xdr:to>
    <xdr:sp macro="" textlink="">
      <xdr:nvSpPr>
        <xdr:cNvPr id="635" name="Callout: Double Bent Line with Border and Accent Bar 634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SpPr/>
      </xdr:nvSpPr>
      <xdr:spPr>
        <a:xfrm>
          <a:off x="12893842" y="118711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56</xdr:row>
      <xdr:rowOff>0</xdr:rowOff>
    </xdr:from>
    <xdr:to>
      <xdr:col>40</xdr:col>
      <xdr:colOff>304800</xdr:colOff>
      <xdr:row>56</xdr:row>
      <xdr:rowOff>127000</xdr:rowOff>
    </xdr:to>
    <xdr:sp macro="[1]!CalloutLine1_Click" textlink="">
      <xdr:nvSpPr>
        <xdr:cNvPr id="636" name="Callout: Line 72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SpPr>
          <a:spLocks/>
        </xdr:cNvSpPr>
      </xdr:nvSpPr>
      <xdr:spPr bwMode="auto">
        <a:xfrm>
          <a:off x="13565605" y="11871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57</xdr:row>
      <xdr:rowOff>0</xdr:rowOff>
    </xdr:from>
    <xdr:to>
      <xdr:col>39</xdr:col>
      <xdr:colOff>266700</xdr:colOff>
      <xdr:row>57</xdr:row>
      <xdr:rowOff>114300</xdr:rowOff>
    </xdr:to>
    <xdr:sp macro="" textlink="">
      <xdr:nvSpPr>
        <xdr:cNvPr id="637" name="Callout: Double Bent Line with Border and Accent Bar 636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SpPr/>
      </xdr:nvSpPr>
      <xdr:spPr>
        <a:xfrm>
          <a:off x="12893842" y="12081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57</xdr:row>
      <xdr:rowOff>19050</xdr:rowOff>
    </xdr:from>
    <xdr:to>
      <xdr:col>40</xdr:col>
      <xdr:colOff>314325</xdr:colOff>
      <xdr:row>57</xdr:row>
      <xdr:rowOff>146050</xdr:rowOff>
    </xdr:to>
    <xdr:sp macro="[1]!CalloutLine1_Click" textlink="">
      <xdr:nvSpPr>
        <xdr:cNvPr id="638" name="Callout: Line 6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SpPr>
          <a:spLocks/>
        </xdr:cNvSpPr>
      </xdr:nvSpPr>
      <xdr:spPr bwMode="auto">
        <a:xfrm>
          <a:off x="13575130" y="1210076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58</xdr:row>
      <xdr:rowOff>0</xdr:rowOff>
    </xdr:from>
    <xdr:to>
      <xdr:col>39</xdr:col>
      <xdr:colOff>266700</xdr:colOff>
      <xdr:row>58</xdr:row>
      <xdr:rowOff>114300</xdr:rowOff>
    </xdr:to>
    <xdr:sp macro="" textlink="">
      <xdr:nvSpPr>
        <xdr:cNvPr id="639" name="Callout: Double Bent Line with Border and Accent Bar 638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SpPr/>
      </xdr:nvSpPr>
      <xdr:spPr>
        <a:xfrm>
          <a:off x="12893842" y="122922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58</xdr:row>
      <xdr:rowOff>0</xdr:rowOff>
    </xdr:from>
    <xdr:to>
      <xdr:col>40</xdr:col>
      <xdr:colOff>304800</xdr:colOff>
      <xdr:row>58</xdr:row>
      <xdr:rowOff>127000</xdr:rowOff>
    </xdr:to>
    <xdr:sp macro="[1]!CalloutLine1_Click" textlink="">
      <xdr:nvSpPr>
        <xdr:cNvPr id="640" name="Callout: Line 7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SpPr>
          <a:spLocks/>
        </xdr:cNvSpPr>
      </xdr:nvSpPr>
      <xdr:spPr bwMode="auto">
        <a:xfrm>
          <a:off x="13565605" y="12292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59</xdr:row>
      <xdr:rowOff>0</xdr:rowOff>
    </xdr:from>
    <xdr:to>
      <xdr:col>39</xdr:col>
      <xdr:colOff>266700</xdr:colOff>
      <xdr:row>59</xdr:row>
      <xdr:rowOff>114300</xdr:rowOff>
    </xdr:to>
    <xdr:sp macro="" textlink="">
      <xdr:nvSpPr>
        <xdr:cNvPr id="641" name="Callout: Double Bent Line with Border and Accent Bar 640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SpPr/>
      </xdr:nvSpPr>
      <xdr:spPr>
        <a:xfrm>
          <a:off x="12893842" y="125028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59</xdr:row>
      <xdr:rowOff>0</xdr:rowOff>
    </xdr:from>
    <xdr:to>
      <xdr:col>40</xdr:col>
      <xdr:colOff>304800</xdr:colOff>
      <xdr:row>59</xdr:row>
      <xdr:rowOff>127000</xdr:rowOff>
    </xdr:to>
    <xdr:sp macro="[1]!CalloutLine1_Click" textlink="">
      <xdr:nvSpPr>
        <xdr:cNvPr id="642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SpPr>
          <a:spLocks/>
        </xdr:cNvSpPr>
      </xdr:nvSpPr>
      <xdr:spPr bwMode="auto">
        <a:xfrm>
          <a:off x="13565605" y="12502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60</xdr:row>
      <xdr:rowOff>0</xdr:rowOff>
    </xdr:from>
    <xdr:to>
      <xdr:col>39</xdr:col>
      <xdr:colOff>266700</xdr:colOff>
      <xdr:row>60</xdr:row>
      <xdr:rowOff>114300</xdr:rowOff>
    </xdr:to>
    <xdr:sp macro="" textlink="">
      <xdr:nvSpPr>
        <xdr:cNvPr id="643" name="Callout: Double Bent Line with Border and Accent Bar 642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SpPr/>
      </xdr:nvSpPr>
      <xdr:spPr>
        <a:xfrm>
          <a:off x="12893842" y="127133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60</xdr:row>
      <xdr:rowOff>19050</xdr:rowOff>
    </xdr:from>
    <xdr:to>
      <xdr:col>40</xdr:col>
      <xdr:colOff>304800</xdr:colOff>
      <xdr:row>60</xdr:row>
      <xdr:rowOff>146050</xdr:rowOff>
    </xdr:to>
    <xdr:sp macro="[1]!CalloutLine1_Click" textlink="">
      <xdr:nvSpPr>
        <xdr:cNvPr id="644" name="Callout: Line 6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SpPr>
          <a:spLocks/>
        </xdr:cNvSpPr>
      </xdr:nvSpPr>
      <xdr:spPr bwMode="auto">
        <a:xfrm>
          <a:off x="13565605" y="1273241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61</xdr:row>
      <xdr:rowOff>0</xdr:rowOff>
    </xdr:from>
    <xdr:to>
      <xdr:col>39</xdr:col>
      <xdr:colOff>266700</xdr:colOff>
      <xdr:row>61</xdr:row>
      <xdr:rowOff>114300</xdr:rowOff>
    </xdr:to>
    <xdr:sp macro="" textlink="">
      <xdr:nvSpPr>
        <xdr:cNvPr id="645" name="Callout: Double Bent Line with Border and Accent Bar 644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SpPr/>
      </xdr:nvSpPr>
      <xdr:spPr>
        <a:xfrm>
          <a:off x="12893842" y="129239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61</xdr:row>
      <xdr:rowOff>0</xdr:rowOff>
    </xdr:from>
    <xdr:to>
      <xdr:col>40</xdr:col>
      <xdr:colOff>304800</xdr:colOff>
      <xdr:row>61</xdr:row>
      <xdr:rowOff>127000</xdr:rowOff>
    </xdr:to>
    <xdr:sp macro="[1]!CalloutLine1_Click" textlink="">
      <xdr:nvSpPr>
        <xdr:cNvPr id="646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SpPr>
          <a:spLocks/>
        </xdr:cNvSpPr>
      </xdr:nvSpPr>
      <xdr:spPr bwMode="auto">
        <a:xfrm>
          <a:off x="13565605" y="12923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62</xdr:row>
      <xdr:rowOff>0</xdr:rowOff>
    </xdr:from>
    <xdr:to>
      <xdr:col>39</xdr:col>
      <xdr:colOff>266700</xdr:colOff>
      <xdr:row>62</xdr:row>
      <xdr:rowOff>114300</xdr:rowOff>
    </xdr:to>
    <xdr:sp macro="" textlink="">
      <xdr:nvSpPr>
        <xdr:cNvPr id="647" name="Callout: Double Bent Line with Border and Accent Bar 646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SpPr/>
      </xdr:nvSpPr>
      <xdr:spPr>
        <a:xfrm>
          <a:off x="12893842" y="131344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62</xdr:row>
      <xdr:rowOff>0</xdr:rowOff>
    </xdr:from>
    <xdr:to>
      <xdr:col>40</xdr:col>
      <xdr:colOff>304800</xdr:colOff>
      <xdr:row>62</xdr:row>
      <xdr:rowOff>127000</xdr:rowOff>
    </xdr:to>
    <xdr:sp macro="[1]!CalloutLine1_Click" textlink="">
      <xdr:nvSpPr>
        <xdr:cNvPr id="648" name="Callout: Line 7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SpPr>
          <a:spLocks/>
        </xdr:cNvSpPr>
      </xdr:nvSpPr>
      <xdr:spPr bwMode="auto">
        <a:xfrm>
          <a:off x="13565605" y="131344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63</xdr:row>
      <xdr:rowOff>0</xdr:rowOff>
    </xdr:from>
    <xdr:to>
      <xdr:col>39</xdr:col>
      <xdr:colOff>266700</xdr:colOff>
      <xdr:row>63</xdr:row>
      <xdr:rowOff>114300</xdr:rowOff>
    </xdr:to>
    <xdr:sp macro="" textlink="">
      <xdr:nvSpPr>
        <xdr:cNvPr id="649" name="Callout: Double Bent Line with Border and Accent Bar 648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SpPr/>
      </xdr:nvSpPr>
      <xdr:spPr>
        <a:xfrm>
          <a:off x="12893842" y="133450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63</xdr:row>
      <xdr:rowOff>28575</xdr:rowOff>
    </xdr:from>
    <xdr:to>
      <xdr:col>40</xdr:col>
      <xdr:colOff>304800</xdr:colOff>
      <xdr:row>63</xdr:row>
      <xdr:rowOff>155575</xdr:rowOff>
    </xdr:to>
    <xdr:sp macro="[1]!CalloutLine1_Click" textlink="">
      <xdr:nvSpPr>
        <xdr:cNvPr id="650" name="Callout: Line 69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SpPr>
          <a:spLocks/>
        </xdr:cNvSpPr>
      </xdr:nvSpPr>
      <xdr:spPr bwMode="auto">
        <a:xfrm>
          <a:off x="13565605" y="1337360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64</xdr:row>
      <xdr:rowOff>0</xdr:rowOff>
    </xdr:from>
    <xdr:to>
      <xdr:col>39</xdr:col>
      <xdr:colOff>266700</xdr:colOff>
      <xdr:row>64</xdr:row>
      <xdr:rowOff>114300</xdr:rowOff>
    </xdr:to>
    <xdr:sp macro="" textlink="">
      <xdr:nvSpPr>
        <xdr:cNvPr id="651" name="Callout: Double Bent Line with Border and Accent Bar 650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SpPr/>
      </xdr:nvSpPr>
      <xdr:spPr>
        <a:xfrm>
          <a:off x="12893842" y="135555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64</xdr:row>
      <xdr:rowOff>0</xdr:rowOff>
    </xdr:from>
    <xdr:to>
      <xdr:col>40</xdr:col>
      <xdr:colOff>304800</xdr:colOff>
      <xdr:row>64</xdr:row>
      <xdr:rowOff>127000</xdr:rowOff>
    </xdr:to>
    <xdr:sp macro="[1]!CalloutLine1_Click" textlink="">
      <xdr:nvSpPr>
        <xdr:cNvPr id="652" name="Callout: Line 72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SpPr>
          <a:spLocks/>
        </xdr:cNvSpPr>
      </xdr:nvSpPr>
      <xdr:spPr bwMode="auto">
        <a:xfrm>
          <a:off x="13565605" y="135555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65</xdr:row>
      <xdr:rowOff>0</xdr:rowOff>
    </xdr:from>
    <xdr:to>
      <xdr:col>39</xdr:col>
      <xdr:colOff>266700</xdr:colOff>
      <xdr:row>65</xdr:row>
      <xdr:rowOff>114300</xdr:rowOff>
    </xdr:to>
    <xdr:sp macro="" textlink="">
      <xdr:nvSpPr>
        <xdr:cNvPr id="653" name="Callout: Double Bent Line with Border and Accent Bar 652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SpPr/>
      </xdr:nvSpPr>
      <xdr:spPr>
        <a:xfrm>
          <a:off x="12893842" y="137661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65</xdr:row>
      <xdr:rowOff>9525</xdr:rowOff>
    </xdr:from>
    <xdr:to>
      <xdr:col>40</xdr:col>
      <xdr:colOff>314325</xdr:colOff>
      <xdr:row>65</xdr:row>
      <xdr:rowOff>136525</xdr:rowOff>
    </xdr:to>
    <xdr:sp macro="[1]!CalloutLine1_Click" textlink="">
      <xdr:nvSpPr>
        <xdr:cNvPr id="654" name="Callout: Line 6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SpPr>
          <a:spLocks/>
        </xdr:cNvSpPr>
      </xdr:nvSpPr>
      <xdr:spPr bwMode="auto">
        <a:xfrm>
          <a:off x="13575130" y="1377565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66</xdr:row>
      <xdr:rowOff>0</xdr:rowOff>
    </xdr:from>
    <xdr:to>
      <xdr:col>39</xdr:col>
      <xdr:colOff>266700</xdr:colOff>
      <xdr:row>66</xdr:row>
      <xdr:rowOff>114300</xdr:rowOff>
    </xdr:to>
    <xdr:sp macro="" textlink="">
      <xdr:nvSpPr>
        <xdr:cNvPr id="655" name="Callout: Double Bent Line with Border and Accent Bar 654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SpPr/>
      </xdr:nvSpPr>
      <xdr:spPr>
        <a:xfrm>
          <a:off x="12893842" y="139766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66</xdr:row>
      <xdr:rowOff>0</xdr:rowOff>
    </xdr:from>
    <xdr:to>
      <xdr:col>40</xdr:col>
      <xdr:colOff>304800</xdr:colOff>
      <xdr:row>66</xdr:row>
      <xdr:rowOff>127000</xdr:rowOff>
    </xdr:to>
    <xdr:sp macro="[1]!CalloutLine1_Click" textlink="">
      <xdr:nvSpPr>
        <xdr:cNvPr id="656" name="Callout: Line 7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SpPr>
          <a:spLocks/>
        </xdr:cNvSpPr>
      </xdr:nvSpPr>
      <xdr:spPr bwMode="auto">
        <a:xfrm>
          <a:off x="13565605" y="139766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67</xdr:row>
      <xdr:rowOff>0</xdr:rowOff>
    </xdr:from>
    <xdr:to>
      <xdr:col>39</xdr:col>
      <xdr:colOff>266700</xdr:colOff>
      <xdr:row>67</xdr:row>
      <xdr:rowOff>114300</xdr:rowOff>
    </xdr:to>
    <xdr:sp macro="" textlink="">
      <xdr:nvSpPr>
        <xdr:cNvPr id="657" name="Callout: Double Bent Line with Border and Accent Bar 65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SpPr/>
      </xdr:nvSpPr>
      <xdr:spPr>
        <a:xfrm>
          <a:off x="12893842" y="1418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67</xdr:row>
      <xdr:rowOff>0</xdr:rowOff>
    </xdr:from>
    <xdr:to>
      <xdr:col>40</xdr:col>
      <xdr:colOff>304800</xdr:colOff>
      <xdr:row>67</xdr:row>
      <xdr:rowOff>127000</xdr:rowOff>
    </xdr:to>
    <xdr:sp macro="[1]!CalloutLine1_Click" textlink="">
      <xdr:nvSpPr>
        <xdr:cNvPr id="658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SpPr>
          <a:spLocks/>
        </xdr:cNvSpPr>
      </xdr:nvSpPr>
      <xdr:spPr bwMode="auto">
        <a:xfrm>
          <a:off x="13565605" y="14187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68</xdr:row>
      <xdr:rowOff>0</xdr:rowOff>
    </xdr:from>
    <xdr:to>
      <xdr:col>39</xdr:col>
      <xdr:colOff>266700</xdr:colOff>
      <xdr:row>68</xdr:row>
      <xdr:rowOff>114300</xdr:rowOff>
    </xdr:to>
    <xdr:sp macro="" textlink="">
      <xdr:nvSpPr>
        <xdr:cNvPr id="659" name="Callout: Double Bent Line with Border and Accent Bar 65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SpPr/>
      </xdr:nvSpPr>
      <xdr:spPr>
        <a:xfrm>
          <a:off x="12893842" y="1439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68</xdr:row>
      <xdr:rowOff>0</xdr:rowOff>
    </xdr:from>
    <xdr:to>
      <xdr:col>40</xdr:col>
      <xdr:colOff>304800</xdr:colOff>
      <xdr:row>68</xdr:row>
      <xdr:rowOff>127000</xdr:rowOff>
    </xdr:to>
    <xdr:sp macro="[1]!CalloutLine1_Click" textlink="">
      <xdr:nvSpPr>
        <xdr:cNvPr id="660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SpPr>
          <a:spLocks/>
        </xdr:cNvSpPr>
      </xdr:nvSpPr>
      <xdr:spPr bwMode="auto">
        <a:xfrm>
          <a:off x="13565605" y="14397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69</xdr:row>
      <xdr:rowOff>0</xdr:rowOff>
    </xdr:from>
    <xdr:to>
      <xdr:col>39</xdr:col>
      <xdr:colOff>266700</xdr:colOff>
      <xdr:row>69</xdr:row>
      <xdr:rowOff>114300</xdr:rowOff>
    </xdr:to>
    <xdr:sp macro="" textlink="">
      <xdr:nvSpPr>
        <xdr:cNvPr id="661" name="Callout: Double Bent Line with Border and Accent Bar 660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SpPr/>
      </xdr:nvSpPr>
      <xdr:spPr>
        <a:xfrm>
          <a:off x="12893842" y="1460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69</xdr:row>
      <xdr:rowOff>0</xdr:rowOff>
    </xdr:from>
    <xdr:to>
      <xdr:col>40</xdr:col>
      <xdr:colOff>304800</xdr:colOff>
      <xdr:row>69</xdr:row>
      <xdr:rowOff>127000</xdr:rowOff>
    </xdr:to>
    <xdr:sp macro="[1]!CalloutLine1_Click" textlink="">
      <xdr:nvSpPr>
        <xdr:cNvPr id="662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SpPr>
          <a:spLocks/>
        </xdr:cNvSpPr>
      </xdr:nvSpPr>
      <xdr:spPr bwMode="auto">
        <a:xfrm>
          <a:off x="13565605" y="14608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70</xdr:row>
      <xdr:rowOff>0</xdr:rowOff>
    </xdr:from>
    <xdr:to>
      <xdr:col>39</xdr:col>
      <xdr:colOff>266700</xdr:colOff>
      <xdr:row>70</xdr:row>
      <xdr:rowOff>114300</xdr:rowOff>
    </xdr:to>
    <xdr:sp macro="" textlink="">
      <xdr:nvSpPr>
        <xdr:cNvPr id="663" name="Callout: Double Bent Line with Border and Accent Bar 662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SpPr/>
      </xdr:nvSpPr>
      <xdr:spPr>
        <a:xfrm>
          <a:off x="12893842" y="14818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70</xdr:row>
      <xdr:rowOff>0</xdr:rowOff>
    </xdr:from>
    <xdr:to>
      <xdr:col>40</xdr:col>
      <xdr:colOff>304800</xdr:colOff>
      <xdr:row>70</xdr:row>
      <xdr:rowOff>127000</xdr:rowOff>
    </xdr:to>
    <xdr:sp macro="[1]!CalloutLine1_Click" textlink="">
      <xdr:nvSpPr>
        <xdr:cNvPr id="664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SpPr>
          <a:spLocks/>
        </xdr:cNvSpPr>
      </xdr:nvSpPr>
      <xdr:spPr bwMode="auto">
        <a:xfrm>
          <a:off x="13565605" y="14818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71</xdr:row>
      <xdr:rowOff>0</xdr:rowOff>
    </xdr:from>
    <xdr:to>
      <xdr:col>39</xdr:col>
      <xdr:colOff>266700</xdr:colOff>
      <xdr:row>71</xdr:row>
      <xdr:rowOff>114300</xdr:rowOff>
    </xdr:to>
    <xdr:sp macro="" textlink="">
      <xdr:nvSpPr>
        <xdr:cNvPr id="665" name="Callout: Double Bent Line with Border and Accent Bar 664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SpPr/>
      </xdr:nvSpPr>
      <xdr:spPr>
        <a:xfrm>
          <a:off x="12893842" y="150294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71</xdr:row>
      <xdr:rowOff>0</xdr:rowOff>
    </xdr:from>
    <xdr:to>
      <xdr:col>40</xdr:col>
      <xdr:colOff>304800</xdr:colOff>
      <xdr:row>71</xdr:row>
      <xdr:rowOff>127000</xdr:rowOff>
    </xdr:to>
    <xdr:sp macro="[1]!CalloutLine1_Click" textlink="">
      <xdr:nvSpPr>
        <xdr:cNvPr id="666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SpPr>
          <a:spLocks/>
        </xdr:cNvSpPr>
      </xdr:nvSpPr>
      <xdr:spPr bwMode="auto">
        <a:xfrm>
          <a:off x="13565605" y="150294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72</xdr:row>
      <xdr:rowOff>0</xdr:rowOff>
    </xdr:from>
    <xdr:to>
      <xdr:col>40</xdr:col>
      <xdr:colOff>304800</xdr:colOff>
      <xdr:row>72</xdr:row>
      <xdr:rowOff>127000</xdr:rowOff>
    </xdr:to>
    <xdr:sp macro="[1]!CalloutLine1_Click" textlink="">
      <xdr:nvSpPr>
        <xdr:cNvPr id="667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SpPr>
          <a:spLocks/>
        </xdr:cNvSpPr>
      </xdr:nvSpPr>
      <xdr:spPr bwMode="auto">
        <a:xfrm>
          <a:off x="13565605" y="152400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73</xdr:row>
      <xdr:rowOff>0</xdr:rowOff>
    </xdr:from>
    <xdr:to>
      <xdr:col>40</xdr:col>
      <xdr:colOff>304800</xdr:colOff>
      <xdr:row>73</xdr:row>
      <xdr:rowOff>127000</xdr:rowOff>
    </xdr:to>
    <xdr:sp macro="[1]!CalloutLine1_Click" textlink="">
      <xdr:nvSpPr>
        <xdr:cNvPr id="668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SpPr>
          <a:spLocks/>
        </xdr:cNvSpPr>
      </xdr:nvSpPr>
      <xdr:spPr bwMode="auto">
        <a:xfrm>
          <a:off x="13565605" y="154505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74</xdr:row>
      <xdr:rowOff>0</xdr:rowOff>
    </xdr:from>
    <xdr:to>
      <xdr:col>40</xdr:col>
      <xdr:colOff>304800</xdr:colOff>
      <xdr:row>74</xdr:row>
      <xdr:rowOff>127000</xdr:rowOff>
    </xdr:to>
    <xdr:sp macro="[1]!CalloutLine1_Click" textlink="">
      <xdr:nvSpPr>
        <xdr:cNvPr id="669" name="Callout: Line 16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SpPr>
          <a:spLocks/>
        </xdr:cNvSpPr>
      </xdr:nvSpPr>
      <xdr:spPr bwMode="auto">
        <a:xfrm>
          <a:off x="13565605" y="156611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75</xdr:row>
      <xdr:rowOff>0</xdr:rowOff>
    </xdr:from>
    <xdr:to>
      <xdr:col>40</xdr:col>
      <xdr:colOff>304800</xdr:colOff>
      <xdr:row>75</xdr:row>
      <xdr:rowOff>127000</xdr:rowOff>
    </xdr:to>
    <xdr:sp macro="[1]!CalloutLine1_Click" textlink="">
      <xdr:nvSpPr>
        <xdr:cNvPr id="670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SpPr>
          <a:spLocks/>
        </xdr:cNvSpPr>
      </xdr:nvSpPr>
      <xdr:spPr bwMode="auto">
        <a:xfrm>
          <a:off x="13565605" y="158716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76</xdr:row>
      <xdr:rowOff>0</xdr:rowOff>
    </xdr:from>
    <xdr:to>
      <xdr:col>40</xdr:col>
      <xdr:colOff>304800</xdr:colOff>
      <xdr:row>76</xdr:row>
      <xdr:rowOff>127000</xdr:rowOff>
    </xdr:to>
    <xdr:sp macro="[1]!CalloutLine1_Click" textlink="">
      <xdr:nvSpPr>
        <xdr:cNvPr id="671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SpPr>
          <a:spLocks/>
        </xdr:cNvSpPr>
      </xdr:nvSpPr>
      <xdr:spPr bwMode="auto">
        <a:xfrm>
          <a:off x="13565605" y="160822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77</xdr:row>
      <xdr:rowOff>0</xdr:rowOff>
    </xdr:from>
    <xdr:to>
      <xdr:col>40</xdr:col>
      <xdr:colOff>304800</xdr:colOff>
      <xdr:row>77</xdr:row>
      <xdr:rowOff>127000</xdr:rowOff>
    </xdr:to>
    <xdr:sp macro="[1]!CalloutLine1_Click" textlink="">
      <xdr:nvSpPr>
        <xdr:cNvPr id="672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SpPr>
          <a:spLocks/>
        </xdr:cNvSpPr>
      </xdr:nvSpPr>
      <xdr:spPr bwMode="auto">
        <a:xfrm>
          <a:off x="13565605" y="162927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78</xdr:row>
      <xdr:rowOff>0</xdr:rowOff>
    </xdr:from>
    <xdr:to>
      <xdr:col>40</xdr:col>
      <xdr:colOff>304800</xdr:colOff>
      <xdr:row>78</xdr:row>
      <xdr:rowOff>127000</xdr:rowOff>
    </xdr:to>
    <xdr:sp macro="[1]!CalloutLine1_Click" textlink="">
      <xdr:nvSpPr>
        <xdr:cNvPr id="673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SpPr>
          <a:spLocks/>
        </xdr:cNvSpPr>
      </xdr:nvSpPr>
      <xdr:spPr bwMode="auto">
        <a:xfrm>
          <a:off x="13565605" y="16503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79</xdr:row>
      <xdr:rowOff>0</xdr:rowOff>
    </xdr:from>
    <xdr:to>
      <xdr:col>39</xdr:col>
      <xdr:colOff>266700</xdr:colOff>
      <xdr:row>79</xdr:row>
      <xdr:rowOff>114300</xdr:rowOff>
    </xdr:to>
    <xdr:sp macro="" textlink="">
      <xdr:nvSpPr>
        <xdr:cNvPr id="674" name="Callout: Double Bent Line with Border and Accent Bar 673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SpPr/>
      </xdr:nvSpPr>
      <xdr:spPr>
        <a:xfrm>
          <a:off x="12893842" y="16713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79</xdr:row>
      <xdr:rowOff>0</xdr:rowOff>
    </xdr:from>
    <xdr:to>
      <xdr:col>40</xdr:col>
      <xdr:colOff>304800</xdr:colOff>
      <xdr:row>79</xdr:row>
      <xdr:rowOff>127000</xdr:rowOff>
    </xdr:to>
    <xdr:sp macro="[1]!CalloutLine1_Click" textlink="">
      <xdr:nvSpPr>
        <xdr:cNvPr id="675" name="Callout: Line 73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SpPr>
          <a:spLocks/>
        </xdr:cNvSpPr>
      </xdr:nvSpPr>
      <xdr:spPr bwMode="auto">
        <a:xfrm>
          <a:off x="13565605" y="16713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80</xdr:row>
      <xdr:rowOff>0</xdr:rowOff>
    </xdr:from>
    <xdr:to>
      <xdr:col>39</xdr:col>
      <xdr:colOff>266700</xdr:colOff>
      <xdr:row>80</xdr:row>
      <xdr:rowOff>114300</xdr:rowOff>
    </xdr:to>
    <xdr:sp macro="" textlink="">
      <xdr:nvSpPr>
        <xdr:cNvPr id="676" name="Callout: Double Bent Line with Border and Accent Bar 675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SpPr/>
      </xdr:nvSpPr>
      <xdr:spPr>
        <a:xfrm>
          <a:off x="12893842" y="16924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80</xdr:row>
      <xdr:rowOff>0</xdr:rowOff>
    </xdr:from>
    <xdr:to>
      <xdr:col>40</xdr:col>
      <xdr:colOff>304800</xdr:colOff>
      <xdr:row>80</xdr:row>
      <xdr:rowOff>127000</xdr:rowOff>
    </xdr:to>
    <xdr:sp macro="[1]!CalloutLine1_Click" textlink="">
      <xdr:nvSpPr>
        <xdr:cNvPr id="677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SpPr>
          <a:spLocks/>
        </xdr:cNvSpPr>
      </xdr:nvSpPr>
      <xdr:spPr bwMode="auto">
        <a:xfrm>
          <a:off x="13565605" y="16924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81</xdr:row>
      <xdr:rowOff>0</xdr:rowOff>
    </xdr:from>
    <xdr:to>
      <xdr:col>39</xdr:col>
      <xdr:colOff>266700</xdr:colOff>
      <xdr:row>81</xdr:row>
      <xdr:rowOff>114300</xdr:rowOff>
    </xdr:to>
    <xdr:sp macro="" textlink="">
      <xdr:nvSpPr>
        <xdr:cNvPr id="678" name="Callout: Double Bent Line with Border and Accent Bar 677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SpPr/>
      </xdr:nvSpPr>
      <xdr:spPr>
        <a:xfrm>
          <a:off x="12893842" y="17134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81</xdr:row>
      <xdr:rowOff>0</xdr:rowOff>
    </xdr:from>
    <xdr:to>
      <xdr:col>40</xdr:col>
      <xdr:colOff>304800</xdr:colOff>
      <xdr:row>81</xdr:row>
      <xdr:rowOff>127000</xdr:rowOff>
    </xdr:to>
    <xdr:sp macro="[1]!CalloutLine1_Click" textlink="">
      <xdr:nvSpPr>
        <xdr:cNvPr id="679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SpPr>
          <a:spLocks/>
        </xdr:cNvSpPr>
      </xdr:nvSpPr>
      <xdr:spPr bwMode="auto">
        <a:xfrm>
          <a:off x="13565605" y="17134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82</xdr:row>
      <xdr:rowOff>0</xdr:rowOff>
    </xdr:from>
    <xdr:to>
      <xdr:col>39</xdr:col>
      <xdr:colOff>266700</xdr:colOff>
      <xdr:row>82</xdr:row>
      <xdr:rowOff>114300</xdr:rowOff>
    </xdr:to>
    <xdr:sp macro="" textlink="">
      <xdr:nvSpPr>
        <xdr:cNvPr id="680" name="Callout: Double Bent Line with Border and Accent Bar 679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SpPr/>
      </xdr:nvSpPr>
      <xdr:spPr>
        <a:xfrm>
          <a:off x="12893842" y="173455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82</xdr:row>
      <xdr:rowOff>0</xdr:rowOff>
    </xdr:from>
    <xdr:to>
      <xdr:col>40</xdr:col>
      <xdr:colOff>304800</xdr:colOff>
      <xdr:row>82</xdr:row>
      <xdr:rowOff>127000</xdr:rowOff>
    </xdr:to>
    <xdr:sp macro="[1]!CalloutLine1_Click" textlink="">
      <xdr:nvSpPr>
        <xdr:cNvPr id="681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SpPr>
          <a:spLocks/>
        </xdr:cNvSpPr>
      </xdr:nvSpPr>
      <xdr:spPr bwMode="auto">
        <a:xfrm>
          <a:off x="13565605" y="1734552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83</xdr:row>
      <xdr:rowOff>0</xdr:rowOff>
    </xdr:from>
    <xdr:to>
      <xdr:col>39</xdr:col>
      <xdr:colOff>266700</xdr:colOff>
      <xdr:row>83</xdr:row>
      <xdr:rowOff>114300</xdr:rowOff>
    </xdr:to>
    <xdr:sp macro="" textlink="">
      <xdr:nvSpPr>
        <xdr:cNvPr id="682" name="Callout: Double Bent Line with Border and Accent Bar 68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SpPr/>
      </xdr:nvSpPr>
      <xdr:spPr>
        <a:xfrm>
          <a:off x="12893842" y="175560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83</xdr:row>
      <xdr:rowOff>0</xdr:rowOff>
    </xdr:from>
    <xdr:to>
      <xdr:col>40</xdr:col>
      <xdr:colOff>304800</xdr:colOff>
      <xdr:row>83</xdr:row>
      <xdr:rowOff>127000</xdr:rowOff>
    </xdr:to>
    <xdr:sp macro="[1]!CalloutLine1_Click" textlink="">
      <xdr:nvSpPr>
        <xdr:cNvPr id="683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SpPr>
          <a:spLocks/>
        </xdr:cNvSpPr>
      </xdr:nvSpPr>
      <xdr:spPr bwMode="auto">
        <a:xfrm>
          <a:off x="13565605" y="175560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84</xdr:row>
      <xdr:rowOff>0</xdr:rowOff>
    </xdr:from>
    <xdr:to>
      <xdr:col>39</xdr:col>
      <xdr:colOff>266700</xdr:colOff>
      <xdr:row>84</xdr:row>
      <xdr:rowOff>114300</xdr:rowOff>
    </xdr:to>
    <xdr:sp macro="" textlink="">
      <xdr:nvSpPr>
        <xdr:cNvPr id="684" name="Callout: Double Bent Line with Border and Accent Bar 683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SpPr/>
      </xdr:nvSpPr>
      <xdr:spPr>
        <a:xfrm>
          <a:off x="12893842" y="17766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84</xdr:row>
      <xdr:rowOff>0</xdr:rowOff>
    </xdr:from>
    <xdr:to>
      <xdr:col>40</xdr:col>
      <xdr:colOff>304800</xdr:colOff>
      <xdr:row>84</xdr:row>
      <xdr:rowOff>127000</xdr:rowOff>
    </xdr:to>
    <xdr:sp macro="[1]!CalloutLine1_Click" textlink="">
      <xdr:nvSpPr>
        <xdr:cNvPr id="685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SpPr>
          <a:spLocks/>
        </xdr:cNvSpPr>
      </xdr:nvSpPr>
      <xdr:spPr bwMode="auto">
        <a:xfrm>
          <a:off x="13565605" y="17766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85</xdr:row>
      <xdr:rowOff>0</xdr:rowOff>
    </xdr:from>
    <xdr:to>
      <xdr:col>39</xdr:col>
      <xdr:colOff>266700</xdr:colOff>
      <xdr:row>85</xdr:row>
      <xdr:rowOff>114300</xdr:rowOff>
    </xdr:to>
    <xdr:sp macro="" textlink="">
      <xdr:nvSpPr>
        <xdr:cNvPr id="686" name="Callout: Double Bent Line with Border and Accent Bar 685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SpPr/>
      </xdr:nvSpPr>
      <xdr:spPr>
        <a:xfrm>
          <a:off x="12893842" y="17977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85</xdr:row>
      <xdr:rowOff>0</xdr:rowOff>
    </xdr:from>
    <xdr:to>
      <xdr:col>40</xdr:col>
      <xdr:colOff>304800</xdr:colOff>
      <xdr:row>85</xdr:row>
      <xdr:rowOff>127000</xdr:rowOff>
    </xdr:to>
    <xdr:sp macro="[1]!CalloutLine1_Click" textlink="">
      <xdr:nvSpPr>
        <xdr:cNvPr id="687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SpPr>
          <a:spLocks/>
        </xdr:cNvSpPr>
      </xdr:nvSpPr>
      <xdr:spPr bwMode="auto">
        <a:xfrm>
          <a:off x="13565605" y="179771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86</xdr:row>
      <xdr:rowOff>0</xdr:rowOff>
    </xdr:from>
    <xdr:to>
      <xdr:col>39</xdr:col>
      <xdr:colOff>266700</xdr:colOff>
      <xdr:row>86</xdr:row>
      <xdr:rowOff>114300</xdr:rowOff>
    </xdr:to>
    <xdr:sp macro="" textlink="">
      <xdr:nvSpPr>
        <xdr:cNvPr id="688" name="Callout: Double Bent Line with Border and Accent Bar 68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SpPr/>
      </xdr:nvSpPr>
      <xdr:spPr>
        <a:xfrm>
          <a:off x="12893842" y="181877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86</xdr:row>
      <xdr:rowOff>0</xdr:rowOff>
    </xdr:from>
    <xdr:to>
      <xdr:col>40</xdr:col>
      <xdr:colOff>304800</xdr:colOff>
      <xdr:row>86</xdr:row>
      <xdr:rowOff>127000</xdr:rowOff>
    </xdr:to>
    <xdr:sp macro="[1]!CalloutLine1_Click" textlink="">
      <xdr:nvSpPr>
        <xdr:cNvPr id="689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SpPr>
          <a:spLocks/>
        </xdr:cNvSpPr>
      </xdr:nvSpPr>
      <xdr:spPr bwMode="auto">
        <a:xfrm>
          <a:off x="13565605" y="181877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87</xdr:row>
      <xdr:rowOff>0</xdr:rowOff>
    </xdr:from>
    <xdr:to>
      <xdr:col>39</xdr:col>
      <xdr:colOff>266700</xdr:colOff>
      <xdr:row>87</xdr:row>
      <xdr:rowOff>114300</xdr:rowOff>
    </xdr:to>
    <xdr:sp macro="" textlink="">
      <xdr:nvSpPr>
        <xdr:cNvPr id="690" name="Callout: Double Bent Line with Border and Accent Bar 689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SpPr/>
      </xdr:nvSpPr>
      <xdr:spPr>
        <a:xfrm>
          <a:off x="12893842" y="183982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87</xdr:row>
      <xdr:rowOff>0</xdr:rowOff>
    </xdr:from>
    <xdr:to>
      <xdr:col>40</xdr:col>
      <xdr:colOff>304800</xdr:colOff>
      <xdr:row>87</xdr:row>
      <xdr:rowOff>127000</xdr:rowOff>
    </xdr:to>
    <xdr:sp macro="[1]!CalloutLine1_Click" textlink="">
      <xdr:nvSpPr>
        <xdr:cNvPr id="691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SpPr>
          <a:spLocks/>
        </xdr:cNvSpPr>
      </xdr:nvSpPr>
      <xdr:spPr bwMode="auto">
        <a:xfrm>
          <a:off x="13565605" y="183982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88</xdr:row>
      <xdr:rowOff>0</xdr:rowOff>
    </xdr:from>
    <xdr:to>
      <xdr:col>39</xdr:col>
      <xdr:colOff>266700</xdr:colOff>
      <xdr:row>88</xdr:row>
      <xdr:rowOff>114300</xdr:rowOff>
    </xdr:to>
    <xdr:sp macro="" textlink="">
      <xdr:nvSpPr>
        <xdr:cNvPr id="692" name="Callout: Double Bent Line with Border and Accent Bar 69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SpPr/>
      </xdr:nvSpPr>
      <xdr:spPr>
        <a:xfrm>
          <a:off x="12893842" y="186088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88</xdr:row>
      <xdr:rowOff>0</xdr:rowOff>
    </xdr:from>
    <xdr:to>
      <xdr:col>40</xdr:col>
      <xdr:colOff>304800</xdr:colOff>
      <xdr:row>88</xdr:row>
      <xdr:rowOff>127000</xdr:rowOff>
    </xdr:to>
    <xdr:sp macro="[1]!CalloutLine1_Click" textlink="">
      <xdr:nvSpPr>
        <xdr:cNvPr id="693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SpPr>
          <a:spLocks/>
        </xdr:cNvSpPr>
      </xdr:nvSpPr>
      <xdr:spPr bwMode="auto">
        <a:xfrm>
          <a:off x="13565605" y="186088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89</xdr:row>
      <xdr:rowOff>0</xdr:rowOff>
    </xdr:from>
    <xdr:to>
      <xdr:col>39</xdr:col>
      <xdr:colOff>266700</xdr:colOff>
      <xdr:row>89</xdr:row>
      <xdr:rowOff>114300</xdr:rowOff>
    </xdr:to>
    <xdr:sp macro="" textlink="">
      <xdr:nvSpPr>
        <xdr:cNvPr id="694" name="Callout: Double Bent Line with Border and Accent Bar 693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SpPr/>
      </xdr:nvSpPr>
      <xdr:spPr>
        <a:xfrm>
          <a:off x="12893842" y="188193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89</xdr:row>
      <xdr:rowOff>0</xdr:rowOff>
    </xdr:from>
    <xdr:to>
      <xdr:col>40</xdr:col>
      <xdr:colOff>304800</xdr:colOff>
      <xdr:row>89</xdr:row>
      <xdr:rowOff>127000</xdr:rowOff>
    </xdr:to>
    <xdr:sp macro="[1]!CalloutLine1_Click" textlink="">
      <xdr:nvSpPr>
        <xdr:cNvPr id="695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SpPr>
          <a:spLocks/>
        </xdr:cNvSpPr>
      </xdr:nvSpPr>
      <xdr:spPr bwMode="auto">
        <a:xfrm>
          <a:off x="13565605" y="188193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90</xdr:row>
      <xdr:rowOff>0</xdr:rowOff>
    </xdr:from>
    <xdr:to>
      <xdr:col>39</xdr:col>
      <xdr:colOff>266700</xdr:colOff>
      <xdr:row>90</xdr:row>
      <xdr:rowOff>114300</xdr:rowOff>
    </xdr:to>
    <xdr:sp macro="" textlink="">
      <xdr:nvSpPr>
        <xdr:cNvPr id="696" name="Callout: Double Bent Line with Border and Accent Bar 695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B8020000}"/>
            </a:ext>
          </a:extLst>
        </xdr:cNvPr>
        <xdr:cNvSpPr/>
      </xdr:nvSpPr>
      <xdr:spPr>
        <a:xfrm>
          <a:off x="12893842" y="190299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90</xdr:row>
      <xdr:rowOff>0</xdr:rowOff>
    </xdr:from>
    <xdr:to>
      <xdr:col>40</xdr:col>
      <xdr:colOff>304800</xdr:colOff>
      <xdr:row>90</xdr:row>
      <xdr:rowOff>127000</xdr:rowOff>
    </xdr:to>
    <xdr:sp macro="[1]!CalloutLine1_Click" textlink="">
      <xdr:nvSpPr>
        <xdr:cNvPr id="697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SpPr>
          <a:spLocks/>
        </xdr:cNvSpPr>
      </xdr:nvSpPr>
      <xdr:spPr bwMode="auto">
        <a:xfrm>
          <a:off x="13565605" y="190299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91</xdr:row>
      <xdr:rowOff>0</xdr:rowOff>
    </xdr:from>
    <xdr:to>
      <xdr:col>39</xdr:col>
      <xdr:colOff>266700</xdr:colOff>
      <xdr:row>91</xdr:row>
      <xdr:rowOff>114300</xdr:rowOff>
    </xdr:to>
    <xdr:sp macro="" textlink="">
      <xdr:nvSpPr>
        <xdr:cNvPr id="698" name="Callout: Double Bent Line with Border and Accent Bar 697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BA020000}"/>
            </a:ext>
          </a:extLst>
        </xdr:cNvPr>
        <xdr:cNvSpPr/>
      </xdr:nvSpPr>
      <xdr:spPr>
        <a:xfrm>
          <a:off x="12893842" y="19240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91</xdr:row>
      <xdr:rowOff>0</xdr:rowOff>
    </xdr:from>
    <xdr:to>
      <xdr:col>40</xdr:col>
      <xdr:colOff>304800</xdr:colOff>
      <xdr:row>91</xdr:row>
      <xdr:rowOff>127000</xdr:rowOff>
    </xdr:to>
    <xdr:sp macro="[1]!CalloutLine1_Click" textlink="">
      <xdr:nvSpPr>
        <xdr:cNvPr id="699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SpPr>
          <a:spLocks/>
        </xdr:cNvSpPr>
      </xdr:nvSpPr>
      <xdr:spPr bwMode="auto">
        <a:xfrm>
          <a:off x="13565605" y="19240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92</xdr:row>
      <xdr:rowOff>0</xdr:rowOff>
    </xdr:from>
    <xdr:to>
      <xdr:col>39</xdr:col>
      <xdr:colOff>266700</xdr:colOff>
      <xdr:row>92</xdr:row>
      <xdr:rowOff>114300</xdr:rowOff>
    </xdr:to>
    <xdr:sp macro="" textlink="">
      <xdr:nvSpPr>
        <xdr:cNvPr id="700" name="Callout: Double Bent Line with Border and Accent Bar 699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BC020000}"/>
            </a:ext>
          </a:extLst>
        </xdr:cNvPr>
        <xdr:cNvSpPr/>
      </xdr:nvSpPr>
      <xdr:spPr>
        <a:xfrm>
          <a:off x="12893842" y="194510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92</xdr:row>
      <xdr:rowOff>0</xdr:rowOff>
    </xdr:from>
    <xdr:to>
      <xdr:col>40</xdr:col>
      <xdr:colOff>304800</xdr:colOff>
      <xdr:row>92</xdr:row>
      <xdr:rowOff>127000</xdr:rowOff>
    </xdr:to>
    <xdr:sp macro="[1]!CalloutLine1_Click" textlink="">
      <xdr:nvSpPr>
        <xdr:cNvPr id="701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SpPr>
          <a:spLocks/>
        </xdr:cNvSpPr>
      </xdr:nvSpPr>
      <xdr:spPr bwMode="auto">
        <a:xfrm>
          <a:off x="13565605" y="194510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93</xdr:row>
      <xdr:rowOff>0</xdr:rowOff>
    </xdr:from>
    <xdr:to>
      <xdr:col>39</xdr:col>
      <xdr:colOff>266700</xdr:colOff>
      <xdr:row>93</xdr:row>
      <xdr:rowOff>114300</xdr:rowOff>
    </xdr:to>
    <xdr:sp macro="" textlink="">
      <xdr:nvSpPr>
        <xdr:cNvPr id="702" name="Callout: Double Bent Line with Border and Accent Bar 701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BE020000}"/>
            </a:ext>
          </a:extLst>
        </xdr:cNvPr>
        <xdr:cNvSpPr/>
      </xdr:nvSpPr>
      <xdr:spPr>
        <a:xfrm>
          <a:off x="12893842" y="196616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93</xdr:row>
      <xdr:rowOff>0</xdr:rowOff>
    </xdr:from>
    <xdr:to>
      <xdr:col>40</xdr:col>
      <xdr:colOff>304800</xdr:colOff>
      <xdr:row>93</xdr:row>
      <xdr:rowOff>127000</xdr:rowOff>
    </xdr:to>
    <xdr:sp macro="[1]!CalloutLine1_Click" textlink="">
      <xdr:nvSpPr>
        <xdr:cNvPr id="703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SpPr>
          <a:spLocks/>
        </xdr:cNvSpPr>
      </xdr:nvSpPr>
      <xdr:spPr bwMode="auto">
        <a:xfrm>
          <a:off x="13565605" y="196616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94</xdr:row>
      <xdr:rowOff>0</xdr:rowOff>
    </xdr:from>
    <xdr:to>
      <xdr:col>39</xdr:col>
      <xdr:colOff>266700</xdr:colOff>
      <xdr:row>94</xdr:row>
      <xdr:rowOff>114300</xdr:rowOff>
    </xdr:to>
    <xdr:sp macro="" textlink="">
      <xdr:nvSpPr>
        <xdr:cNvPr id="704" name="Callout: Double Bent Line with Border and Accent Bar 703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C0020000}"/>
            </a:ext>
          </a:extLst>
        </xdr:cNvPr>
        <xdr:cNvSpPr/>
      </xdr:nvSpPr>
      <xdr:spPr>
        <a:xfrm>
          <a:off x="12893842" y="198721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94</xdr:row>
      <xdr:rowOff>0</xdr:rowOff>
    </xdr:from>
    <xdr:to>
      <xdr:col>40</xdr:col>
      <xdr:colOff>304800</xdr:colOff>
      <xdr:row>94</xdr:row>
      <xdr:rowOff>127000</xdr:rowOff>
    </xdr:to>
    <xdr:sp macro="[1]!CalloutLine1_Click" textlink="">
      <xdr:nvSpPr>
        <xdr:cNvPr id="705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SpPr>
          <a:spLocks/>
        </xdr:cNvSpPr>
      </xdr:nvSpPr>
      <xdr:spPr bwMode="auto">
        <a:xfrm>
          <a:off x="13565605" y="198721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95</xdr:row>
      <xdr:rowOff>0</xdr:rowOff>
    </xdr:from>
    <xdr:to>
      <xdr:col>39</xdr:col>
      <xdr:colOff>266700</xdr:colOff>
      <xdr:row>95</xdr:row>
      <xdr:rowOff>114300</xdr:rowOff>
    </xdr:to>
    <xdr:sp macro="" textlink="">
      <xdr:nvSpPr>
        <xdr:cNvPr id="706" name="Callout: Double Bent Line with Border and Accent Bar 705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C2020000}"/>
            </a:ext>
          </a:extLst>
        </xdr:cNvPr>
        <xdr:cNvSpPr/>
      </xdr:nvSpPr>
      <xdr:spPr>
        <a:xfrm>
          <a:off x="12893842" y="20082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95</xdr:row>
      <xdr:rowOff>0</xdr:rowOff>
    </xdr:from>
    <xdr:to>
      <xdr:col>40</xdr:col>
      <xdr:colOff>304800</xdr:colOff>
      <xdr:row>95</xdr:row>
      <xdr:rowOff>127000</xdr:rowOff>
    </xdr:to>
    <xdr:sp macro="[1]!CalloutLine1_Click" textlink="">
      <xdr:nvSpPr>
        <xdr:cNvPr id="707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SpPr>
          <a:spLocks/>
        </xdr:cNvSpPr>
      </xdr:nvSpPr>
      <xdr:spPr bwMode="auto">
        <a:xfrm>
          <a:off x="13565605" y="20082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96</xdr:row>
      <xdr:rowOff>0</xdr:rowOff>
    </xdr:from>
    <xdr:to>
      <xdr:col>40</xdr:col>
      <xdr:colOff>304800</xdr:colOff>
      <xdr:row>96</xdr:row>
      <xdr:rowOff>127000</xdr:rowOff>
    </xdr:to>
    <xdr:sp macro="[1]!CalloutLine1_Click" textlink="">
      <xdr:nvSpPr>
        <xdr:cNvPr id="708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C4020000}"/>
            </a:ext>
          </a:extLst>
        </xdr:cNvPr>
        <xdr:cNvSpPr>
          <a:spLocks/>
        </xdr:cNvSpPr>
      </xdr:nvSpPr>
      <xdr:spPr bwMode="auto">
        <a:xfrm>
          <a:off x="13565605" y="20293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97</xdr:row>
      <xdr:rowOff>0</xdr:rowOff>
    </xdr:from>
    <xdr:to>
      <xdr:col>39</xdr:col>
      <xdr:colOff>266700</xdr:colOff>
      <xdr:row>97</xdr:row>
      <xdr:rowOff>114300</xdr:rowOff>
    </xdr:to>
    <xdr:sp macro="" textlink="">
      <xdr:nvSpPr>
        <xdr:cNvPr id="709" name="Callout: Double Bent Line with Border and Accent Bar 708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SpPr/>
      </xdr:nvSpPr>
      <xdr:spPr>
        <a:xfrm>
          <a:off x="12893842" y="205038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97</xdr:row>
      <xdr:rowOff>0</xdr:rowOff>
    </xdr:from>
    <xdr:to>
      <xdr:col>40</xdr:col>
      <xdr:colOff>304800</xdr:colOff>
      <xdr:row>97</xdr:row>
      <xdr:rowOff>127000</xdr:rowOff>
    </xdr:to>
    <xdr:sp macro="[1]!CalloutLine1_Click" textlink="">
      <xdr:nvSpPr>
        <xdr:cNvPr id="710" name="Callout: Line 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C6020000}"/>
            </a:ext>
          </a:extLst>
        </xdr:cNvPr>
        <xdr:cNvSpPr>
          <a:spLocks/>
        </xdr:cNvSpPr>
      </xdr:nvSpPr>
      <xdr:spPr bwMode="auto">
        <a:xfrm>
          <a:off x="13565605" y="20503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711" name="Callout: Double Bent Line with Border and Accent Bar 710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SpPr/>
      </xdr:nvSpPr>
      <xdr:spPr>
        <a:xfrm>
          <a:off x="12893842" y="8502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712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C8020000}"/>
            </a:ext>
          </a:extLst>
        </xdr:cNvPr>
        <xdr:cNvSpPr>
          <a:spLocks/>
        </xdr:cNvSpPr>
      </xdr:nvSpPr>
      <xdr:spPr bwMode="auto">
        <a:xfrm>
          <a:off x="13565605" y="8502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713" name="Callout: Double Bent Line with Border and Accent Bar 712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SpPr/>
      </xdr:nvSpPr>
      <xdr:spPr>
        <a:xfrm>
          <a:off x="12893842" y="8712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714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CA020000}"/>
            </a:ext>
          </a:extLst>
        </xdr:cNvPr>
        <xdr:cNvSpPr>
          <a:spLocks/>
        </xdr:cNvSpPr>
      </xdr:nvSpPr>
      <xdr:spPr bwMode="auto">
        <a:xfrm>
          <a:off x="13565605" y="8712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715" name="Callout: Double Bent Line with Border and Accent Bar 714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SpPr/>
      </xdr:nvSpPr>
      <xdr:spPr>
        <a:xfrm>
          <a:off x="12893842" y="8923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716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CC020000}"/>
            </a:ext>
          </a:extLst>
        </xdr:cNvPr>
        <xdr:cNvSpPr>
          <a:spLocks/>
        </xdr:cNvSpPr>
      </xdr:nvSpPr>
      <xdr:spPr bwMode="auto">
        <a:xfrm>
          <a:off x="13565605" y="8923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717" name="Callout: Double Bent Line with Border and Accent Bar 716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SpPr/>
      </xdr:nvSpPr>
      <xdr:spPr>
        <a:xfrm>
          <a:off x="12893842" y="9133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718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CE020000}"/>
            </a:ext>
          </a:extLst>
        </xdr:cNvPr>
        <xdr:cNvSpPr>
          <a:spLocks/>
        </xdr:cNvSpPr>
      </xdr:nvSpPr>
      <xdr:spPr bwMode="auto">
        <a:xfrm>
          <a:off x="13565605" y="9133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719" name="Callout: Double Bent Line with Border and Accent Bar 718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SpPr/>
      </xdr:nvSpPr>
      <xdr:spPr>
        <a:xfrm>
          <a:off x="12893842" y="1418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720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D0020000}"/>
            </a:ext>
          </a:extLst>
        </xdr:cNvPr>
        <xdr:cNvSpPr>
          <a:spLocks/>
        </xdr:cNvSpPr>
      </xdr:nvSpPr>
      <xdr:spPr bwMode="auto">
        <a:xfrm>
          <a:off x="13565605" y="14187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721" name="Callout: Double Bent Line with Border and Accent Bar 72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SpPr/>
      </xdr:nvSpPr>
      <xdr:spPr>
        <a:xfrm>
          <a:off x="12893842" y="1439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722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D2020000}"/>
            </a:ext>
          </a:extLst>
        </xdr:cNvPr>
        <xdr:cNvSpPr>
          <a:spLocks/>
        </xdr:cNvSpPr>
      </xdr:nvSpPr>
      <xdr:spPr bwMode="auto">
        <a:xfrm>
          <a:off x="13565605" y="14397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723" name="Callout: Double Bent Line with Border and Accent Bar 722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SpPr/>
      </xdr:nvSpPr>
      <xdr:spPr>
        <a:xfrm>
          <a:off x="12893842" y="1460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724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D4020000}"/>
            </a:ext>
          </a:extLst>
        </xdr:cNvPr>
        <xdr:cNvSpPr>
          <a:spLocks/>
        </xdr:cNvSpPr>
      </xdr:nvSpPr>
      <xdr:spPr bwMode="auto">
        <a:xfrm>
          <a:off x="13565605" y="14608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725" name="Callout: Double Bent Line with Border and Accent Bar 724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SpPr/>
      </xdr:nvSpPr>
      <xdr:spPr>
        <a:xfrm>
          <a:off x="12893842" y="14818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726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D6020000}"/>
            </a:ext>
          </a:extLst>
        </xdr:cNvPr>
        <xdr:cNvSpPr>
          <a:spLocks/>
        </xdr:cNvSpPr>
      </xdr:nvSpPr>
      <xdr:spPr bwMode="auto">
        <a:xfrm>
          <a:off x="13565605" y="14818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727" name="Callout: Double Bent Line with Border and Accent Bar 726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SpPr/>
      </xdr:nvSpPr>
      <xdr:spPr>
        <a:xfrm>
          <a:off x="12893842" y="8502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728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D8020000}"/>
            </a:ext>
          </a:extLst>
        </xdr:cNvPr>
        <xdr:cNvSpPr>
          <a:spLocks/>
        </xdr:cNvSpPr>
      </xdr:nvSpPr>
      <xdr:spPr bwMode="auto">
        <a:xfrm>
          <a:off x="13565605" y="8502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729" name="Callout: Double Bent Line with Border and Accent Bar 728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SpPr/>
      </xdr:nvSpPr>
      <xdr:spPr>
        <a:xfrm>
          <a:off x="12893842" y="8712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730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DA020000}"/>
            </a:ext>
          </a:extLst>
        </xdr:cNvPr>
        <xdr:cNvSpPr>
          <a:spLocks/>
        </xdr:cNvSpPr>
      </xdr:nvSpPr>
      <xdr:spPr bwMode="auto">
        <a:xfrm>
          <a:off x="13565605" y="8712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731" name="Callout: Double Bent Line with Border and Accent Bar 730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SpPr/>
      </xdr:nvSpPr>
      <xdr:spPr>
        <a:xfrm>
          <a:off x="12893842" y="8923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732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DC020000}"/>
            </a:ext>
          </a:extLst>
        </xdr:cNvPr>
        <xdr:cNvSpPr>
          <a:spLocks/>
        </xdr:cNvSpPr>
      </xdr:nvSpPr>
      <xdr:spPr bwMode="auto">
        <a:xfrm>
          <a:off x="13565605" y="8923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733" name="Callout: Double Bent Line with Border and Accent Bar 732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SpPr/>
      </xdr:nvSpPr>
      <xdr:spPr>
        <a:xfrm>
          <a:off x="12893842" y="9133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734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DE020000}"/>
            </a:ext>
          </a:extLst>
        </xdr:cNvPr>
        <xdr:cNvSpPr>
          <a:spLocks/>
        </xdr:cNvSpPr>
      </xdr:nvSpPr>
      <xdr:spPr bwMode="auto">
        <a:xfrm>
          <a:off x="13565605" y="9133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735" name="Callout: Double Bent Line with Border and Accent Bar 73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SpPr/>
      </xdr:nvSpPr>
      <xdr:spPr>
        <a:xfrm>
          <a:off x="12893842" y="1418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736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E0020000}"/>
            </a:ext>
          </a:extLst>
        </xdr:cNvPr>
        <xdr:cNvSpPr>
          <a:spLocks/>
        </xdr:cNvSpPr>
      </xdr:nvSpPr>
      <xdr:spPr bwMode="auto">
        <a:xfrm>
          <a:off x="13565605" y="14187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880" name="Callout: Double Bent Line with Border and Accent Bar 87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70030000}"/>
            </a:ext>
          </a:extLst>
        </xdr:cNvPr>
        <xdr:cNvSpPr/>
      </xdr:nvSpPr>
      <xdr:spPr>
        <a:xfrm>
          <a:off x="12893842" y="1439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881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71030000}"/>
            </a:ext>
          </a:extLst>
        </xdr:cNvPr>
        <xdr:cNvSpPr>
          <a:spLocks/>
        </xdr:cNvSpPr>
      </xdr:nvSpPr>
      <xdr:spPr bwMode="auto">
        <a:xfrm>
          <a:off x="13565605" y="14397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882" name="Callout: Double Bent Line with Border and Accent Bar 881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72030000}"/>
            </a:ext>
          </a:extLst>
        </xdr:cNvPr>
        <xdr:cNvSpPr/>
      </xdr:nvSpPr>
      <xdr:spPr>
        <a:xfrm>
          <a:off x="12893842" y="1460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883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73030000}"/>
            </a:ext>
          </a:extLst>
        </xdr:cNvPr>
        <xdr:cNvSpPr>
          <a:spLocks/>
        </xdr:cNvSpPr>
      </xdr:nvSpPr>
      <xdr:spPr bwMode="auto">
        <a:xfrm>
          <a:off x="13565605" y="14608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884" name="Callout: Double Bent Line with Border and Accent Bar 88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74030000}"/>
            </a:ext>
          </a:extLst>
        </xdr:cNvPr>
        <xdr:cNvSpPr/>
      </xdr:nvSpPr>
      <xdr:spPr>
        <a:xfrm>
          <a:off x="12893842" y="14818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885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75030000}"/>
            </a:ext>
          </a:extLst>
        </xdr:cNvPr>
        <xdr:cNvSpPr>
          <a:spLocks/>
        </xdr:cNvSpPr>
      </xdr:nvSpPr>
      <xdr:spPr bwMode="auto">
        <a:xfrm>
          <a:off x="13565605" y="14818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27</xdr:col>
      <xdr:colOff>301292</xdr:colOff>
      <xdr:row>0</xdr:row>
      <xdr:rowOff>150395</xdr:rowOff>
    </xdr:from>
    <xdr:to>
      <xdr:col>29</xdr:col>
      <xdr:colOff>751974</xdr:colOff>
      <xdr:row>1</xdr:row>
      <xdr:rowOff>140369</xdr:rowOff>
    </xdr:to>
    <xdr:sp macro="[0]!AfficherFormulaire" textlink="">
      <xdr:nvSpPr>
        <xdr:cNvPr id="886" name="Rectangle à coins arrondis 7">
          <a:extLst>
            <a:ext uri="{FF2B5EF4-FFF2-40B4-BE49-F238E27FC236}">
              <a16:creationId xmlns:a16="http://schemas.microsoft.com/office/drawing/2014/main" id="{00000000-0008-0000-0100-000076030000}"/>
            </a:ext>
          </a:extLst>
        </xdr:cNvPr>
        <xdr:cNvSpPr/>
      </xdr:nvSpPr>
      <xdr:spPr>
        <a:xfrm>
          <a:off x="772529" y="150395"/>
          <a:ext cx="2846971" cy="2807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Affiche</a:t>
          </a:r>
          <a:r>
            <a:rPr lang="fr-FR" sz="1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 Formulaire avancé </a:t>
          </a:r>
          <a:endParaRPr lang="fr-FR" sz="12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887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77030000}"/>
            </a:ext>
          </a:extLst>
        </xdr:cNvPr>
        <xdr:cNvSpPr>
          <a:spLocks/>
        </xdr:cNvSpPr>
      </xdr:nvSpPr>
      <xdr:spPr bwMode="auto">
        <a:xfrm>
          <a:off x="13565605" y="564816"/>
          <a:ext cx="304800" cy="147052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21558</xdr:colOff>
      <xdr:row>3</xdr:row>
      <xdr:rowOff>48127</xdr:rowOff>
    </xdr:from>
    <xdr:to>
      <xdr:col>39</xdr:col>
      <xdr:colOff>240632</xdr:colOff>
      <xdr:row>3</xdr:row>
      <xdr:rowOff>160421</xdr:rowOff>
    </xdr:to>
    <xdr:sp macro="" textlink="">
      <xdr:nvSpPr>
        <xdr:cNvPr id="888" name="Callout: Double Bent Line with Border and Accent Bar 887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78030000}"/>
            </a:ext>
          </a:extLst>
        </xdr:cNvPr>
        <xdr:cNvSpPr/>
      </xdr:nvSpPr>
      <xdr:spPr>
        <a:xfrm>
          <a:off x="12915400" y="1181101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25400</xdr:rowOff>
    </xdr:from>
    <xdr:to>
      <xdr:col>40</xdr:col>
      <xdr:colOff>304800</xdr:colOff>
      <xdr:row>3</xdr:row>
      <xdr:rowOff>152400</xdr:rowOff>
    </xdr:to>
    <xdr:sp macro="[1]!CalloutLine1_Click" textlink="">
      <xdr:nvSpPr>
        <xdr:cNvPr id="889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79030000}"/>
            </a:ext>
          </a:extLst>
        </xdr:cNvPr>
        <xdr:cNvSpPr>
          <a:spLocks/>
        </xdr:cNvSpPr>
      </xdr:nvSpPr>
      <xdr:spPr bwMode="auto">
        <a:xfrm>
          <a:off x="13565605" y="1158374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890" name="Callout: Double Bent Line with Border and Accent Bar 88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7A030000}"/>
            </a:ext>
          </a:extLst>
        </xdr:cNvPr>
        <xdr:cNvSpPr/>
      </xdr:nvSpPr>
      <xdr:spPr>
        <a:xfrm>
          <a:off x="12893842" y="13435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891" name="Callout: Double Bent Line with Border and Accent Bar 890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7B030000}"/>
            </a:ext>
          </a:extLst>
        </xdr:cNvPr>
        <xdr:cNvSpPr/>
      </xdr:nvSpPr>
      <xdr:spPr>
        <a:xfrm>
          <a:off x="12893842" y="15540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5</xdr:row>
      <xdr:rowOff>25400</xdr:rowOff>
    </xdr:from>
    <xdr:to>
      <xdr:col>40</xdr:col>
      <xdr:colOff>317500</xdr:colOff>
      <xdr:row>5</xdr:row>
      <xdr:rowOff>152400</xdr:rowOff>
    </xdr:to>
    <xdr:sp macro="[1]!CalloutLine1_Click" textlink="">
      <xdr:nvSpPr>
        <xdr:cNvPr id="892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7C030000}"/>
            </a:ext>
          </a:extLst>
        </xdr:cNvPr>
        <xdr:cNvSpPr>
          <a:spLocks/>
        </xdr:cNvSpPr>
      </xdr:nvSpPr>
      <xdr:spPr bwMode="auto">
        <a:xfrm>
          <a:off x="13578305" y="15794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893" name="Callout: Double Bent Line with Border and Accent Bar 892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7D030000}"/>
            </a:ext>
          </a:extLst>
        </xdr:cNvPr>
        <xdr:cNvSpPr/>
      </xdr:nvSpPr>
      <xdr:spPr>
        <a:xfrm>
          <a:off x="12893842" y="1764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6</xdr:row>
      <xdr:rowOff>25400</xdr:rowOff>
    </xdr:from>
    <xdr:to>
      <xdr:col>40</xdr:col>
      <xdr:colOff>317500</xdr:colOff>
      <xdr:row>6</xdr:row>
      <xdr:rowOff>152400</xdr:rowOff>
    </xdr:to>
    <xdr:sp macro="[1]!CalloutLine1_Click" textlink="">
      <xdr:nvSpPr>
        <xdr:cNvPr id="894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7E030000}"/>
            </a:ext>
          </a:extLst>
        </xdr:cNvPr>
        <xdr:cNvSpPr>
          <a:spLocks/>
        </xdr:cNvSpPr>
      </xdr:nvSpPr>
      <xdr:spPr bwMode="auto">
        <a:xfrm>
          <a:off x="13578305" y="17900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895" name="Callout: Double Bent Line with Border and Accent Bar 894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7F030000}"/>
            </a:ext>
          </a:extLst>
        </xdr:cNvPr>
        <xdr:cNvSpPr/>
      </xdr:nvSpPr>
      <xdr:spPr>
        <a:xfrm>
          <a:off x="12893842" y="1975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393700</xdr:colOff>
      <xdr:row>7</xdr:row>
      <xdr:rowOff>38100</xdr:rowOff>
    </xdr:from>
    <xdr:to>
      <xdr:col>40</xdr:col>
      <xdr:colOff>647700</xdr:colOff>
      <xdr:row>7</xdr:row>
      <xdr:rowOff>152400</xdr:rowOff>
    </xdr:to>
    <xdr:sp macro="[1]!CalloutLine1_Click" textlink="">
      <xdr:nvSpPr>
        <xdr:cNvPr id="896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80030000}"/>
            </a:ext>
          </a:extLst>
        </xdr:cNvPr>
        <xdr:cNvSpPr>
          <a:spLocks/>
        </xdr:cNvSpPr>
      </xdr:nvSpPr>
      <xdr:spPr bwMode="auto">
        <a:xfrm>
          <a:off x="13959305" y="2013284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897" name="Callout: Double Bent Line with Border and Accent Bar 896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81030000}"/>
            </a:ext>
          </a:extLst>
        </xdr:cNvPr>
        <xdr:cNvSpPr/>
      </xdr:nvSpPr>
      <xdr:spPr>
        <a:xfrm>
          <a:off x="12893842" y="21857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8</xdr:row>
      <xdr:rowOff>38100</xdr:rowOff>
    </xdr:from>
    <xdr:to>
      <xdr:col>40</xdr:col>
      <xdr:colOff>317500</xdr:colOff>
      <xdr:row>8</xdr:row>
      <xdr:rowOff>165100</xdr:rowOff>
    </xdr:to>
    <xdr:sp macro="[1]!CalloutLine1_Click" textlink="">
      <xdr:nvSpPr>
        <xdr:cNvPr id="898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82030000}"/>
            </a:ext>
          </a:extLst>
        </xdr:cNvPr>
        <xdr:cNvSpPr>
          <a:spLocks/>
        </xdr:cNvSpPr>
      </xdr:nvSpPr>
      <xdr:spPr bwMode="auto">
        <a:xfrm>
          <a:off x="13578305" y="22238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899" name="Callout: Double Bent Line with Border and Accent Bar 898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83030000}"/>
            </a:ext>
          </a:extLst>
        </xdr:cNvPr>
        <xdr:cNvSpPr/>
      </xdr:nvSpPr>
      <xdr:spPr>
        <a:xfrm>
          <a:off x="12893842" y="40807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900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84030000}"/>
            </a:ext>
          </a:extLst>
        </xdr:cNvPr>
        <xdr:cNvSpPr>
          <a:spLocks/>
        </xdr:cNvSpPr>
      </xdr:nvSpPr>
      <xdr:spPr bwMode="auto">
        <a:xfrm>
          <a:off x="13565605" y="40807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901" name="Callout: Double Bent Line with Border and Accent Bar 900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85030000}"/>
            </a:ext>
          </a:extLst>
        </xdr:cNvPr>
        <xdr:cNvSpPr/>
      </xdr:nvSpPr>
      <xdr:spPr>
        <a:xfrm>
          <a:off x="12893842" y="42912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902" name="Callout: Line 5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86030000}"/>
            </a:ext>
          </a:extLst>
        </xdr:cNvPr>
        <xdr:cNvSpPr>
          <a:spLocks/>
        </xdr:cNvSpPr>
      </xdr:nvSpPr>
      <xdr:spPr bwMode="auto">
        <a:xfrm>
          <a:off x="13565605" y="49229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39</xdr:col>
      <xdr:colOff>266700</xdr:colOff>
      <xdr:row>18</xdr:row>
      <xdr:rowOff>114300</xdr:rowOff>
    </xdr:to>
    <xdr:sp macro="" textlink="">
      <xdr:nvSpPr>
        <xdr:cNvPr id="903" name="Callout: Double Bent Line with Border and Accent Bar 902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87030000}"/>
            </a:ext>
          </a:extLst>
        </xdr:cNvPr>
        <xdr:cNvSpPr/>
      </xdr:nvSpPr>
      <xdr:spPr>
        <a:xfrm>
          <a:off x="12893842" y="74495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40</xdr:col>
      <xdr:colOff>304800</xdr:colOff>
      <xdr:row>18</xdr:row>
      <xdr:rowOff>127000</xdr:rowOff>
    </xdr:to>
    <xdr:sp macro="[1]!CalloutLine1_Click" textlink="">
      <xdr:nvSpPr>
        <xdr:cNvPr id="904" name="Callout: Line 4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88030000}"/>
            </a:ext>
          </a:extLst>
        </xdr:cNvPr>
        <xdr:cNvSpPr>
          <a:spLocks/>
        </xdr:cNvSpPr>
      </xdr:nvSpPr>
      <xdr:spPr bwMode="auto">
        <a:xfrm>
          <a:off x="13565605" y="74495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39</xdr:col>
      <xdr:colOff>266700</xdr:colOff>
      <xdr:row>19</xdr:row>
      <xdr:rowOff>114300</xdr:rowOff>
    </xdr:to>
    <xdr:sp macro="" textlink="">
      <xdr:nvSpPr>
        <xdr:cNvPr id="905" name="Callout: Double Bent Line with Border and Accent Bar 904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89030000}"/>
            </a:ext>
          </a:extLst>
        </xdr:cNvPr>
        <xdr:cNvSpPr/>
      </xdr:nvSpPr>
      <xdr:spPr>
        <a:xfrm>
          <a:off x="12893842" y="76601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19</xdr:row>
      <xdr:rowOff>0</xdr:rowOff>
    </xdr:from>
    <xdr:to>
      <xdr:col>40</xdr:col>
      <xdr:colOff>304800</xdr:colOff>
      <xdr:row>19</xdr:row>
      <xdr:rowOff>127000</xdr:rowOff>
    </xdr:to>
    <xdr:sp macro="[1]!CalloutLine1_Click" textlink="">
      <xdr:nvSpPr>
        <xdr:cNvPr id="906" name="Callout: Line 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8A030000}"/>
            </a:ext>
          </a:extLst>
        </xdr:cNvPr>
        <xdr:cNvSpPr>
          <a:spLocks/>
        </xdr:cNvSpPr>
      </xdr:nvSpPr>
      <xdr:spPr bwMode="auto">
        <a:xfrm>
          <a:off x="13565605" y="76601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40</xdr:col>
      <xdr:colOff>304800</xdr:colOff>
      <xdr:row>20</xdr:row>
      <xdr:rowOff>127000</xdr:rowOff>
    </xdr:to>
    <xdr:sp macro="[1]!CalloutLine1_Click" textlink="">
      <xdr:nvSpPr>
        <xdr:cNvPr id="907" name="Callout: Line 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8B030000}"/>
            </a:ext>
          </a:extLst>
        </xdr:cNvPr>
        <xdr:cNvSpPr>
          <a:spLocks/>
        </xdr:cNvSpPr>
      </xdr:nvSpPr>
      <xdr:spPr bwMode="auto">
        <a:xfrm>
          <a:off x="13565605" y="78706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39</xdr:col>
      <xdr:colOff>266700</xdr:colOff>
      <xdr:row>21</xdr:row>
      <xdr:rowOff>114300</xdr:rowOff>
    </xdr:to>
    <xdr:sp macro="" textlink="">
      <xdr:nvSpPr>
        <xdr:cNvPr id="908" name="Callout: Double Bent Line with Border and Accent Bar 907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8C030000}"/>
            </a:ext>
          </a:extLst>
        </xdr:cNvPr>
        <xdr:cNvSpPr/>
      </xdr:nvSpPr>
      <xdr:spPr>
        <a:xfrm>
          <a:off x="12893842" y="150294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40</xdr:col>
      <xdr:colOff>304800</xdr:colOff>
      <xdr:row>21</xdr:row>
      <xdr:rowOff>127000</xdr:rowOff>
    </xdr:to>
    <xdr:sp macro="[1]!CalloutLine1_Click" textlink="">
      <xdr:nvSpPr>
        <xdr:cNvPr id="909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8D030000}"/>
            </a:ext>
          </a:extLst>
        </xdr:cNvPr>
        <xdr:cNvSpPr>
          <a:spLocks/>
        </xdr:cNvSpPr>
      </xdr:nvSpPr>
      <xdr:spPr bwMode="auto">
        <a:xfrm>
          <a:off x="13565605" y="150294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22</xdr:row>
      <xdr:rowOff>0</xdr:rowOff>
    </xdr:from>
    <xdr:to>
      <xdr:col>40</xdr:col>
      <xdr:colOff>304800</xdr:colOff>
      <xdr:row>22</xdr:row>
      <xdr:rowOff>127000</xdr:rowOff>
    </xdr:to>
    <xdr:sp macro="[1]!CalloutLine1_Click" textlink="">
      <xdr:nvSpPr>
        <xdr:cNvPr id="910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8E030000}"/>
            </a:ext>
          </a:extLst>
        </xdr:cNvPr>
        <xdr:cNvSpPr>
          <a:spLocks/>
        </xdr:cNvSpPr>
      </xdr:nvSpPr>
      <xdr:spPr bwMode="auto">
        <a:xfrm>
          <a:off x="13565605" y="152400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40</xdr:col>
      <xdr:colOff>304800</xdr:colOff>
      <xdr:row>23</xdr:row>
      <xdr:rowOff>127000</xdr:rowOff>
    </xdr:to>
    <xdr:sp macro="[1]!CalloutLine1_Click" textlink="">
      <xdr:nvSpPr>
        <xdr:cNvPr id="911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8F030000}"/>
            </a:ext>
          </a:extLst>
        </xdr:cNvPr>
        <xdr:cNvSpPr>
          <a:spLocks/>
        </xdr:cNvSpPr>
      </xdr:nvSpPr>
      <xdr:spPr bwMode="auto">
        <a:xfrm>
          <a:off x="13565605" y="154505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24</xdr:row>
      <xdr:rowOff>0</xdr:rowOff>
    </xdr:from>
    <xdr:to>
      <xdr:col>40</xdr:col>
      <xdr:colOff>304800</xdr:colOff>
      <xdr:row>24</xdr:row>
      <xdr:rowOff>127000</xdr:rowOff>
    </xdr:to>
    <xdr:sp macro="[1]!CalloutLine1_Click" textlink="">
      <xdr:nvSpPr>
        <xdr:cNvPr id="912" name="Callout: Line 16">
          <a:extLst>
            <a:ext uri="{FF2B5EF4-FFF2-40B4-BE49-F238E27FC236}">
              <a16:creationId xmlns:a16="http://schemas.microsoft.com/office/drawing/2014/main" id="{00000000-0008-0000-0100-000090030000}"/>
            </a:ext>
          </a:extLst>
        </xdr:cNvPr>
        <xdr:cNvSpPr>
          <a:spLocks/>
        </xdr:cNvSpPr>
      </xdr:nvSpPr>
      <xdr:spPr bwMode="auto">
        <a:xfrm>
          <a:off x="13565605" y="1566110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25</xdr:row>
      <xdr:rowOff>0</xdr:rowOff>
    </xdr:from>
    <xdr:to>
      <xdr:col>40</xdr:col>
      <xdr:colOff>304800</xdr:colOff>
      <xdr:row>25</xdr:row>
      <xdr:rowOff>127000</xdr:rowOff>
    </xdr:to>
    <xdr:sp macro="[1]!CalloutLine1_Click" textlink="">
      <xdr:nvSpPr>
        <xdr:cNvPr id="913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91030000}"/>
            </a:ext>
          </a:extLst>
        </xdr:cNvPr>
        <xdr:cNvSpPr>
          <a:spLocks/>
        </xdr:cNvSpPr>
      </xdr:nvSpPr>
      <xdr:spPr bwMode="auto">
        <a:xfrm>
          <a:off x="13565605" y="158716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26</xdr:row>
      <xdr:rowOff>0</xdr:rowOff>
    </xdr:from>
    <xdr:to>
      <xdr:col>40</xdr:col>
      <xdr:colOff>304800</xdr:colOff>
      <xdr:row>26</xdr:row>
      <xdr:rowOff>127000</xdr:rowOff>
    </xdr:to>
    <xdr:sp macro="[1]!CalloutLine1_Click" textlink="">
      <xdr:nvSpPr>
        <xdr:cNvPr id="914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92030000}"/>
            </a:ext>
          </a:extLst>
        </xdr:cNvPr>
        <xdr:cNvSpPr>
          <a:spLocks/>
        </xdr:cNvSpPr>
      </xdr:nvSpPr>
      <xdr:spPr bwMode="auto">
        <a:xfrm>
          <a:off x="13565605" y="160822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27</xdr:row>
      <xdr:rowOff>0</xdr:rowOff>
    </xdr:from>
    <xdr:to>
      <xdr:col>40</xdr:col>
      <xdr:colOff>304800</xdr:colOff>
      <xdr:row>27</xdr:row>
      <xdr:rowOff>127000</xdr:rowOff>
    </xdr:to>
    <xdr:sp macro="[1]!CalloutLine1_Click" textlink="">
      <xdr:nvSpPr>
        <xdr:cNvPr id="915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93030000}"/>
            </a:ext>
          </a:extLst>
        </xdr:cNvPr>
        <xdr:cNvSpPr>
          <a:spLocks/>
        </xdr:cNvSpPr>
      </xdr:nvSpPr>
      <xdr:spPr bwMode="auto">
        <a:xfrm>
          <a:off x="13565605" y="162927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40</xdr:col>
      <xdr:colOff>304800</xdr:colOff>
      <xdr:row>28</xdr:row>
      <xdr:rowOff>127000</xdr:rowOff>
    </xdr:to>
    <xdr:sp macro="[1]!CalloutLine1_Click" textlink="">
      <xdr:nvSpPr>
        <xdr:cNvPr id="916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94030000}"/>
            </a:ext>
          </a:extLst>
        </xdr:cNvPr>
        <xdr:cNvSpPr>
          <a:spLocks/>
        </xdr:cNvSpPr>
      </xdr:nvSpPr>
      <xdr:spPr bwMode="auto">
        <a:xfrm>
          <a:off x="13565605" y="16503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40</xdr:col>
      <xdr:colOff>304800</xdr:colOff>
      <xdr:row>29</xdr:row>
      <xdr:rowOff>127000</xdr:rowOff>
    </xdr:to>
    <xdr:sp macro="[1]!CalloutLine1_Click" textlink="">
      <xdr:nvSpPr>
        <xdr:cNvPr id="917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95030000}"/>
            </a:ext>
          </a:extLst>
        </xdr:cNvPr>
        <xdr:cNvSpPr>
          <a:spLocks/>
        </xdr:cNvSpPr>
      </xdr:nvSpPr>
      <xdr:spPr bwMode="auto">
        <a:xfrm>
          <a:off x="13565605" y="202932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30</xdr:row>
      <xdr:rowOff>0</xdr:rowOff>
    </xdr:from>
    <xdr:to>
      <xdr:col>39</xdr:col>
      <xdr:colOff>266700</xdr:colOff>
      <xdr:row>30</xdr:row>
      <xdr:rowOff>114300</xdr:rowOff>
    </xdr:to>
    <xdr:sp macro="" textlink="">
      <xdr:nvSpPr>
        <xdr:cNvPr id="918" name="Callout: Double Bent Line with Border and Accent Bar 917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100-000096030000}"/>
            </a:ext>
          </a:extLst>
        </xdr:cNvPr>
        <xdr:cNvSpPr/>
      </xdr:nvSpPr>
      <xdr:spPr>
        <a:xfrm>
          <a:off x="12893842" y="205038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30</xdr:row>
      <xdr:rowOff>0</xdr:rowOff>
    </xdr:from>
    <xdr:to>
      <xdr:col>40</xdr:col>
      <xdr:colOff>304800</xdr:colOff>
      <xdr:row>30</xdr:row>
      <xdr:rowOff>127000</xdr:rowOff>
    </xdr:to>
    <xdr:sp macro="[1]!CalloutLine1_Click" textlink="">
      <xdr:nvSpPr>
        <xdr:cNvPr id="919" name="Callout: Line 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97030000}"/>
            </a:ext>
          </a:extLst>
        </xdr:cNvPr>
        <xdr:cNvSpPr>
          <a:spLocks/>
        </xdr:cNvSpPr>
      </xdr:nvSpPr>
      <xdr:spPr bwMode="auto">
        <a:xfrm>
          <a:off x="13565605" y="205038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920" name="Callout: Double Bent Line with Border and Accent Bar 919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98030000}"/>
            </a:ext>
          </a:extLst>
        </xdr:cNvPr>
        <xdr:cNvSpPr/>
      </xdr:nvSpPr>
      <xdr:spPr>
        <a:xfrm>
          <a:off x="12893842" y="850231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921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99030000}"/>
            </a:ext>
          </a:extLst>
        </xdr:cNvPr>
        <xdr:cNvSpPr>
          <a:spLocks/>
        </xdr:cNvSpPr>
      </xdr:nvSpPr>
      <xdr:spPr bwMode="auto">
        <a:xfrm>
          <a:off x="13565605" y="850231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922" name="Callout: Double Bent Line with Border and Accent Bar 921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9A030000}"/>
            </a:ext>
          </a:extLst>
        </xdr:cNvPr>
        <xdr:cNvSpPr/>
      </xdr:nvSpPr>
      <xdr:spPr>
        <a:xfrm>
          <a:off x="12893842" y="87128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923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9B030000}"/>
            </a:ext>
          </a:extLst>
        </xdr:cNvPr>
        <xdr:cNvSpPr>
          <a:spLocks/>
        </xdr:cNvSpPr>
      </xdr:nvSpPr>
      <xdr:spPr bwMode="auto">
        <a:xfrm>
          <a:off x="13565605" y="87128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924" name="Callout: Double Bent Line with Border and Accent Bar 923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9C030000}"/>
            </a:ext>
          </a:extLst>
        </xdr:cNvPr>
        <xdr:cNvSpPr/>
      </xdr:nvSpPr>
      <xdr:spPr>
        <a:xfrm>
          <a:off x="12893842" y="89234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925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9D030000}"/>
            </a:ext>
          </a:extLst>
        </xdr:cNvPr>
        <xdr:cNvSpPr>
          <a:spLocks/>
        </xdr:cNvSpPr>
      </xdr:nvSpPr>
      <xdr:spPr bwMode="auto">
        <a:xfrm>
          <a:off x="13565605" y="89234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926" name="Callout: Double Bent Line with Border and Accent Bar 925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9E030000}"/>
            </a:ext>
          </a:extLst>
        </xdr:cNvPr>
        <xdr:cNvSpPr/>
      </xdr:nvSpPr>
      <xdr:spPr>
        <a:xfrm>
          <a:off x="12893842" y="913397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927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9F030000}"/>
            </a:ext>
          </a:extLst>
        </xdr:cNvPr>
        <xdr:cNvSpPr>
          <a:spLocks/>
        </xdr:cNvSpPr>
      </xdr:nvSpPr>
      <xdr:spPr bwMode="auto">
        <a:xfrm>
          <a:off x="13565605" y="91339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928" name="Callout: Double Bent Line with Border and Accent Bar 927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A0030000}"/>
            </a:ext>
          </a:extLst>
        </xdr:cNvPr>
        <xdr:cNvSpPr/>
      </xdr:nvSpPr>
      <xdr:spPr>
        <a:xfrm>
          <a:off x="12893842" y="141872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929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A1030000}"/>
            </a:ext>
          </a:extLst>
        </xdr:cNvPr>
        <xdr:cNvSpPr>
          <a:spLocks/>
        </xdr:cNvSpPr>
      </xdr:nvSpPr>
      <xdr:spPr bwMode="auto">
        <a:xfrm>
          <a:off x="13565605" y="141872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930" name="Callout: Double Bent Line with Border and Accent Bar 92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A2030000}"/>
            </a:ext>
          </a:extLst>
        </xdr:cNvPr>
        <xdr:cNvSpPr/>
      </xdr:nvSpPr>
      <xdr:spPr>
        <a:xfrm>
          <a:off x="12893842" y="143977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931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A3030000}"/>
            </a:ext>
          </a:extLst>
        </xdr:cNvPr>
        <xdr:cNvSpPr>
          <a:spLocks/>
        </xdr:cNvSpPr>
      </xdr:nvSpPr>
      <xdr:spPr bwMode="auto">
        <a:xfrm>
          <a:off x="13565605" y="143977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932" name="Callout: Double Bent Line with Border and Accent Bar 931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A4030000}"/>
            </a:ext>
          </a:extLst>
        </xdr:cNvPr>
        <xdr:cNvSpPr/>
      </xdr:nvSpPr>
      <xdr:spPr>
        <a:xfrm>
          <a:off x="12893842" y="146083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933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A5030000}"/>
            </a:ext>
          </a:extLst>
        </xdr:cNvPr>
        <xdr:cNvSpPr>
          <a:spLocks/>
        </xdr:cNvSpPr>
      </xdr:nvSpPr>
      <xdr:spPr bwMode="auto">
        <a:xfrm>
          <a:off x="13565605" y="146083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934" name="Callout: Double Bent Line with Border and Accent Bar 93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A6030000}"/>
            </a:ext>
          </a:extLst>
        </xdr:cNvPr>
        <xdr:cNvSpPr/>
      </xdr:nvSpPr>
      <xdr:spPr>
        <a:xfrm>
          <a:off x="12893842" y="1481889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935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A7030000}"/>
            </a:ext>
          </a:extLst>
        </xdr:cNvPr>
        <xdr:cNvSpPr>
          <a:spLocks/>
        </xdr:cNvSpPr>
      </xdr:nvSpPr>
      <xdr:spPr bwMode="auto">
        <a:xfrm>
          <a:off x="13565605" y="1481889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21558</xdr:colOff>
      <xdr:row>1</xdr:row>
      <xdr:rowOff>48127</xdr:rowOff>
    </xdr:from>
    <xdr:to>
      <xdr:col>39</xdr:col>
      <xdr:colOff>240632</xdr:colOff>
      <xdr:row>1</xdr:row>
      <xdr:rowOff>160421</xdr:rowOff>
    </xdr:to>
    <xdr:sp macro="" textlink="">
      <xdr:nvSpPr>
        <xdr:cNvPr id="936" name="Callout: Double Bent Line with Border and Accent Bar 935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A8030000}"/>
            </a:ext>
          </a:extLst>
        </xdr:cNvPr>
        <xdr:cNvSpPr/>
      </xdr:nvSpPr>
      <xdr:spPr>
        <a:xfrm>
          <a:off x="12915400" y="1181101"/>
          <a:ext cx="219074" cy="112294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25400</xdr:rowOff>
    </xdr:from>
    <xdr:to>
      <xdr:col>40</xdr:col>
      <xdr:colOff>304800</xdr:colOff>
      <xdr:row>1</xdr:row>
      <xdr:rowOff>152400</xdr:rowOff>
    </xdr:to>
    <xdr:sp macro="[1]!CalloutLine1_Click" textlink="">
      <xdr:nvSpPr>
        <xdr:cNvPr id="937" name="Callout: Lin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A9030000}"/>
            </a:ext>
          </a:extLst>
        </xdr:cNvPr>
        <xdr:cNvSpPr>
          <a:spLocks/>
        </xdr:cNvSpPr>
      </xdr:nvSpPr>
      <xdr:spPr bwMode="auto">
        <a:xfrm>
          <a:off x="13565605" y="1158374"/>
          <a:ext cx="304800" cy="127000"/>
        </a:xfrm>
        <a:prstGeom prst="borderCallout1">
          <a:avLst>
            <a:gd name="adj1" fmla="val 18750"/>
            <a:gd name="adj2" fmla="val -8333"/>
            <a:gd name="adj3" fmla="val 27884"/>
            <a:gd name="adj4" fmla="val 8097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938" name="Callout: Double Bent Line with Border and Accent Bar 937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100-0000AA030000}"/>
            </a:ext>
          </a:extLst>
        </xdr:cNvPr>
        <xdr:cNvSpPr/>
      </xdr:nvSpPr>
      <xdr:spPr>
        <a:xfrm>
          <a:off x="12893842" y="134352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939" name="Callout: Double Bent Line with Border and Accent Bar 938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100-0000AB030000}"/>
            </a:ext>
          </a:extLst>
        </xdr:cNvPr>
        <xdr:cNvSpPr/>
      </xdr:nvSpPr>
      <xdr:spPr>
        <a:xfrm>
          <a:off x="12893842" y="15540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3</xdr:row>
      <xdr:rowOff>25400</xdr:rowOff>
    </xdr:from>
    <xdr:to>
      <xdr:col>40</xdr:col>
      <xdr:colOff>317500</xdr:colOff>
      <xdr:row>3</xdr:row>
      <xdr:rowOff>152400</xdr:rowOff>
    </xdr:to>
    <xdr:sp macro="[1]!CalloutLine1_Click" textlink="">
      <xdr:nvSpPr>
        <xdr:cNvPr id="940" name="Callout: Lin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AC030000}"/>
            </a:ext>
          </a:extLst>
        </xdr:cNvPr>
        <xdr:cNvSpPr>
          <a:spLocks/>
        </xdr:cNvSpPr>
      </xdr:nvSpPr>
      <xdr:spPr bwMode="auto">
        <a:xfrm>
          <a:off x="13578305" y="157947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941" name="Callout: Double Bent Line with Border and Accent Bar 940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AD030000}"/>
            </a:ext>
          </a:extLst>
        </xdr:cNvPr>
        <xdr:cNvSpPr/>
      </xdr:nvSpPr>
      <xdr:spPr>
        <a:xfrm>
          <a:off x="12893842" y="1764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4</xdr:row>
      <xdr:rowOff>25400</xdr:rowOff>
    </xdr:from>
    <xdr:to>
      <xdr:col>40</xdr:col>
      <xdr:colOff>317500</xdr:colOff>
      <xdr:row>4</xdr:row>
      <xdr:rowOff>152400</xdr:rowOff>
    </xdr:to>
    <xdr:sp macro="[1]!CalloutLine1_Click" textlink="">
      <xdr:nvSpPr>
        <xdr:cNvPr id="942" name="Callout: Lin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AE030000}"/>
            </a:ext>
          </a:extLst>
        </xdr:cNvPr>
        <xdr:cNvSpPr>
          <a:spLocks/>
        </xdr:cNvSpPr>
      </xdr:nvSpPr>
      <xdr:spPr bwMode="auto">
        <a:xfrm>
          <a:off x="13578305" y="17900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943" name="Callout: Double Bent Line with Border and Accent Bar 942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100-0000AF030000}"/>
            </a:ext>
          </a:extLst>
        </xdr:cNvPr>
        <xdr:cNvSpPr/>
      </xdr:nvSpPr>
      <xdr:spPr>
        <a:xfrm>
          <a:off x="12893842" y="1975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393700</xdr:colOff>
      <xdr:row>5</xdr:row>
      <xdr:rowOff>38100</xdr:rowOff>
    </xdr:from>
    <xdr:to>
      <xdr:col>40</xdr:col>
      <xdr:colOff>647700</xdr:colOff>
      <xdr:row>5</xdr:row>
      <xdr:rowOff>152400</xdr:rowOff>
    </xdr:to>
    <xdr:sp macro="[1]!CalloutLine1_Click" textlink="">
      <xdr:nvSpPr>
        <xdr:cNvPr id="944" name="Callout: Lin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B0030000}"/>
            </a:ext>
          </a:extLst>
        </xdr:cNvPr>
        <xdr:cNvSpPr>
          <a:spLocks/>
        </xdr:cNvSpPr>
      </xdr:nvSpPr>
      <xdr:spPr bwMode="auto">
        <a:xfrm>
          <a:off x="13959305" y="2013284"/>
          <a:ext cx="254000" cy="1143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C5E0B4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945" name="Callout: Double Bent Line with Border and Accent Bar 944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100-0000B1030000}"/>
            </a:ext>
          </a:extLst>
        </xdr:cNvPr>
        <xdr:cNvSpPr/>
      </xdr:nvSpPr>
      <xdr:spPr>
        <a:xfrm>
          <a:off x="12893842" y="218573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12700</xdr:colOff>
      <xdr:row>6</xdr:row>
      <xdr:rowOff>38100</xdr:rowOff>
    </xdr:from>
    <xdr:to>
      <xdr:col>40</xdr:col>
      <xdr:colOff>317500</xdr:colOff>
      <xdr:row>6</xdr:row>
      <xdr:rowOff>165100</xdr:rowOff>
    </xdr:to>
    <xdr:sp macro="[1]!CalloutLine1_Click" textlink="">
      <xdr:nvSpPr>
        <xdr:cNvPr id="946" name="Callout: Lin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B2030000}"/>
            </a:ext>
          </a:extLst>
        </xdr:cNvPr>
        <xdr:cNvSpPr>
          <a:spLocks/>
        </xdr:cNvSpPr>
      </xdr:nvSpPr>
      <xdr:spPr bwMode="auto">
        <a:xfrm>
          <a:off x="13578305" y="22238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947" name="Callout: Double Bent Line with Border and Accent Bar 946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100-0000B3030000}"/>
            </a:ext>
          </a:extLst>
        </xdr:cNvPr>
        <xdr:cNvSpPr/>
      </xdr:nvSpPr>
      <xdr:spPr>
        <a:xfrm>
          <a:off x="12893842" y="323850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948" name="Callout: Double Bent Line with Border and Accent Bar 947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B4030000}"/>
            </a:ext>
          </a:extLst>
        </xdr:cNvPr>
        <xdr:cNvSpPr/>
      </xdr:nvSpPr>
      <xdr:spPr>
        <a:xfrm>
          <a:off x="12893842" y="42912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949" name="Callout: Double Bent Line with Border and Accent Bar 948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0000000-0008-0000-0100-0000B5030000}"/>
            </a:ext>
          </a:extLst>
        </xdr:cNvPr>
        <xdr:cNvSpPr/>
      </xdr:nvSpPr>
      <xdr:spPr>
        <a:xfrm>
          <a:off x="12893842" y="9765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950" name="Callout: Lin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B6030000}"/>
            </a:ext>
          </a:extLst>
        </xdr:cNvPr>
        <xdr:cNvSpPr>
          <a:spLocks/>
        </xdr:cNvSpPr>
      </xdr:nvSpPr>
      <xdr:spPr bwMode="auto">
        <a:xfrm>
          <a:off x="13565605" y="9765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951" name="Callout: Double Bent Line with Border and Accent Bar 950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100-0000B7030000}"/>
            </a:ext>
          </a:extLst>
        </xdr:cNvPr>
        <xdr:cNvSpPr/>
      </xdr:nvSpPr>
      <xdr:spPr>
        <a:xfrm>
          <a:off x="12893842" y="99761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952" name="Callout: Line 2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B8030000}"/>
            </a:ext>
          </a:extLst>
        </xdr:cNvPr>
        <xdr:cNvSpPr>
          <a:spLocks/>
        </xdr:cNvSpPr>
      </xdr:nvSpPr>
      <xdr:spPr bwMode="auto">
        <a:xfrm>
          <a:off x="13565605" y="997618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953" name="Callout: Double Bent Line with Border and Accent Bar 952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B9030000}"/>
            </a:ext>
          </a:extLst>
        </xdr:cNvPr>
        <xdr:cNvSpPr/>
      </xdr:nvSpPr>
      <xdr:spPr>
        <a:xfrm>
          <a:off x="12905852" y="279469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25400</xdr:rowOff>
    </xdr:from>
    <xdr:to>
      <xdr:col>40</xdr:col>
      <xdr:colOff>304800</xdr:colOff>
      <xdr:row>1</xdr:row>
      <xdr:rowOff>152400</xdr:rowOff>
    </xdr:to>
    <xdr:sp macro="[1]!CalloutLine1_Click" textlink="">
      <xdr:nvSpPr>
        <xdr:cNvPr id="954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BA030000}"/>
            </a:ext>
          </a:extLst>
        </xdr:cNvPr>
        <xdr:cNvSpPr>
          <a:spLocks/>
        </xdr:cNvSpPr>
      </xdr:nvSpPr>
      <xdr:spPr bwMode="auto">
        <a:xfrm>
          <a:off x="13575742" y="282009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955" name="Callout: Double Bent Line with Border and Accent Bar 954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BB030000}"/>
            </a:ext>
          </a:extLst>
        </xdr:cNvPr>
        <xdr:cNvSpPr/>
      </xdr:nvSpPr>
      <xdr:spPr>
        <a:xfrm>
          <a:off x="12905852" y="572546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956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BC030000}"/>
            </a:ext>
          </a:extLst>
        </xdr:cNvPr>
        <xdr:cNvSpPr>
          <a:spLocks/>
        </xdr:cNvSpPr>
      </xdr:nvSpPr>
      <xdr:spPr bwMode="auto">
        <a:xfrm>
          <a:off x="13575742" y="572546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957" name="Callout: Double Bent Line with Border and Accent Bar 956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100-0000BD030000}"/>
            </a:ext>
          </a:extLst>
        </xdr:cNvPr>
        <xdr:cNvSpPr/>
      </xdr:nvSpPr>
      <xdr:spPr>
        <a:xfrm>
          <a:off x="12905852" y="593480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958" name="Callout: Line 7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BE030000}"/>
            </a:ext>
          </a:extLst>
        </xdr:cNvPr>
        <xdr:cNvSpPr>
          <a:spLocks/>
        </xdr:cNvSpPr>
      </xdr:nvSpPr>
      <xdr:spPr bwMode="auto">
        <a:xfrm>
          <a:off x="13575742" y="593480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959" name="Callout: Double Bent Line with Border and Accent Bar 958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100-0000BF030000}"/>
            </a:ext>
          </a:extLst>
        </xdr:cNvPr>
        <xdr:cNvSpPr/>
      </xdr:nvSpPr>
      <xdr:spPr>
        <a:xfrm>
          <a:off x="12905852" y="614414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960" name="Callout: Line 7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C0030000}"/>
            </a:ext>
          </a:extLst>
        </xdr:cNvPr>
        <xdr:cNvSpPr>
          <a:spLocks/>
        </xdr:cNvSpPr>
      </xdr:nvSpPr>
      <xdr:spPr bwMode="auto">
        <a:xfrm>
          <a:off x="13575742" y="614414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961" name="Callout: Double Bent Line with Border and Accent Bar 960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C1030000}"/>
            </a:ext>
          </a:extLst>
        </xdr:cNvPr>
        <xdr:cNvSpPr/>
      </xdr:nvSpPr>
      <xdr:spPr>
        <a:xfrm>
          <a:off x="12905852" y="63534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962" name="Callout: Line 7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C2030000}"/>
            </a:ext>
          </a:extLst>
        </xdr:cNvPr>
        <xdr:cNvSpPr>
          <a:spLocks/>
        </xdr:cNvSpPr>
      </xdr:nvSpPr>
      <xdr:spPr bwMode="auto">
        <a:xfrm>
          <a:off x="13575742" y="63534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963" name="Callout: Double Bent Line with Border and Accent Bar 96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C3030000}"/>
            </a:ext>
          </a:extLst>
        </xdr:cNvPr>
        <xdr:cNvSpPr/>
      </xdr:nvSpPr>
      <xdr:spPr>
        <a:xfrm>
          <a:off x="12905852" y="69815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964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C4030000}"/>
            </a:ext>
          </a:extLst>
        </xdr:cNvPr>
        <xdr:cNvSpPr>
          <a:spLocks/>
        </xdr:cNvSpPr>
      </xdr:nvSpPr>
      <xdr:spPr bwMode="auto">
        <a:xfrm>
          <a:off x="13575742" y="69815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965" name="Callout: Double Bent Line with Border and Accent Bar 964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C5030000}"/>
            </a:ext>
          </a:extLst>
        </xdr:cNvPr>
        <xdr:cNvSpPr/>
      </xdr:nvSpPr>
      <xdr:spPr>
        <a:xfrm>
          <a:off x="12905852" y="719085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966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C6030000}"/>
            </a:ext>
          </a:extLst>
        </xdr:cNvPr>
        <xdr:cNvSpPr>
          <a:spLocks/>
        </xdr:cNvSpPr>
      </xdr:nvSpPr>
      <xdr:spPr bwMode="auto">
        <a:xfrm>
          <a:off x="13575742" y="719085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967" name="Callout: Line 16">
          <a:extLst>
            <a:ext uri="{FF2B5EF4-FFF2-40B4-BE49-F238E27FC236}">
              <a16:creationId xmlns:a16="http://schemas.microsoft.com/office/drawing/2014/main" id="{00000000-0008-0000-0100-0000C7030000}"/>
            </a:ext>
          </a:extLst>
        </xdr:cNvPr>
        <xdr:cNvSpPr>
          <a:spLocks/>
        </xdr:cNvSpPr>
      </xdr:nvSpPr>
      <xdr:spPr bwMode="auto">
        <a:xfrm>
          <a:off x="13575742" y="1556447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968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C8030000}"/>
            </a:ext>
          </a:extLst>
        </xdr:cNvPr>
        <xdr:cNvSpPr>
          <a:spLocks/>
        </xdr:cNvSpPr>
      </xdr:nvSpPr>
      <xdr:spPr bwMode="auto">
        <a:xfrm>
          <a:off x="13575742" y="1640184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969" name="Callout: Double Bent Line with Border and Accent Bar 968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C9030000}"/>
            </a:ext>
          </a:extLst>
        </xdr:cNvPr>
        <xdr:cNvSpPr/>
      </xdr:nvSpPr>
      <xdr:spPr>
        <a:xfrm>
          <a:off x="12905852" y="1493645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970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CA030000}"/>
            </a:ext>
          </a:extLst>
        </xdr:cNvPr>
        <xdr:cNvSpPr>
          <a:spLocks/>
        </xdr:cNvSpPr>
      </xdr:nvSpPr>
      <xdr:spPr bwMode="auto">
        <a:xfrm>
          <a:off x="13575742" y="1493645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971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CB030000}"/>
            </a:ext>
          </a:extLst>
        </xdr:cNvPr>
        <xdr:cNvSpPr>
          <a:spLocks/>
        </xdr:cNvSpPr>
      </xdr:nvSpPr>
      <xdr:spPr bwMode="auto">
        <a:xfrm>
          <a:off x="13575742" y="1514579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972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CC030000}"/>
            </a:ext>
          </a:extLst>
        </xdr:cNvPr>
        <xdr:cNvSpPr>
          <a:spLocks/>
        </xdr:cNvSpPr>
      </xdr:nvSpPr>
      <xdr:spPr bwMode="auto">
        <a:xfrm>
          <a:off x="13575742" y="153551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973" name="Callout: Line 16">
          <a:extLst>
            <a:ext uri="{FF2B5EF4-FFF2-40B4-BE49-F238E27FC236}">
              <a16:creationId xmlns:a16="http://schemas.microsoft.com/office/drawing/2014/main" id="{00000000-0008-0000-0100-0000CD030000}"/>
            </a:ext>
          </a:extLst>
        </xdr:cNvPr>
        <xdr:cNvSpPr>
          <a:spLocks/>
        </xdr:cNvSpPr>
      </xdr:nvSpPr>
      <xdr:spPr bwMode="auto">
        <a:xfrm>
          <a:off x="13575742" y="1556447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974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CE030000}"/>
            </a:ext>
          </a:extLst>
        </xdr:cNvPr>
        <xdr:cNvSpPr>
          <a:spLocks/>
        </xdr:cNvSpPr>
      </xdr:nvSpPr>
      <xdr:spPr bwMode="auto">
        <a:xfrm>
          <a:off x="13575742" y="1577381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975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CF030000}"/>
            </a:ext>
          </a:extLst>
        </xdr:cNvPr>
        <xdr:cNvSpPr>
          <a:spLocks/>
        </xdr:cNvSpPr>
      </xdr:nvSpPr>
      <xdr:spPr bwMode="auto">
        <a:xfrm>
          <a:off x="13575742" y="1598315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976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D0030000}"/>
            </a:ext>
          </a:extLst>
        </xdr:cNvPr>
        <xdr:cNvSpPr>
          <a:spLocks/>
        </xdr:cNvSpPr>
      </xdr:nvSpPr>
      <xdr:spPr bwMode="auto">
        <a:xfrm>
          <a:off x="13575742" y="16192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977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D1030000}"/>
            </a:ext>
          </a:extLst>
        </xdr:cNvPr>
        <xdr:cNvSpPr>
          <a:spLocks/>
        </xdr:cNvSpPr>
      </xdr:nvSpPr>
      <xdr:spPr bwMode="auto">
        <a:xfrm>
          <a:off x="13575742" y="1640184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978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D2030000}"/>
            </a:ext>
          </a:extLst>
        </xdr:cNvPr>
        <xdr:cNvSpPr>
          <a:spLocks/>
        </xdr:cNvSpPr>
      </xdr:nvSpPr>
      <xdr:spPr bwMode="auto">
        <a:xfrm>
          <a:off x="13575742" y="2016997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27</xdr:col>
      <xdr:colOff>301292</xdr:colOff>
      <xdr:row>0</xdr:row>
      <xdr:rowOff>150395</xdr:rowOff>
    </xdr:from>
    <xdr:to>
      <xdr:col>29</xdr:col>
      <xdr:colOff>751974</xdr:colOff>
      <xdr:row>1</xdr:row>
      <xdr:rowOff>140369</xdr:rowOff>
    </xdr:to>
    <xdr:sp macro="[0]!AfficherFormulaire" textlink="">
      <xdr:nvSpPr>
        <xdr:cNvPr id="979" name="Rectangle à coins arrondis 7">
          <a:extLst>
            <a:ext uri="{FF2B5EF4-FFF2-40B4-BE49-F238E27FC236}">
              <a16:creationId xmlns:a16="http://schemas.microsoft.com/office/drawing/2014/main" id="{00000000-0008-0000-0100-0000D3030000}"/>
            </a:ext>
          </a:extLst>
        </xdr:cNvPr>
        <xdr:cNvSpPr/>
      </xdr:nvSpPr>
      <xdr:spPr>
        <a:xfrm>
          <a:off x="772308" y="150395"/>
          <a:ext cx="2858100" cy="27258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Affiche</a:t>
          </a:r>
          <a:r>
            <a:rPr lang="fr-FR" sz="1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 Formulaire avancé </a:t>
          </a:r>
          <a:endParaRPr lang="fr-FR" sz="12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980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D4030000}"/>
            </a:ext>
          </a:extLst>
        </xdr:cNvPr>
        <xdr:cNvSpPr>
          <a:spLocks/>
        </xdr:cNvSpPr>
      </xdr:nvSpPr>
      <xdr:spPr bwMode="auto">
        <a:xfrm>
          <a:off x="13575742" y="555451"/>
          <a:ext cx="304800" cy="14584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981" name="Callout: Double Bent Line with Border and Accent Bar 980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D5030000}"/>
            </a:ext>
          </a:extLst>
        </xdr:cNvPr>
        <xdr:cNvSpPr/>
      </xdr:nvSpPr>
      <xdr:spPr>
        <a:xfrm>
          <a:off x="12905852" y="405074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982" name="Callout: Line 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D6030000}"/>
            </a:ext>
          </a:extLst>
        </xdr:cNvPr>
        <xdr:cNvSpPr>
          <a:spLocks/>
        </xdr:cNvSpPr>
      </xdr:nvSpPr>
      <xdr:spPr bwMode="auto">
        <a:xfrm>
          <a:off x="13575742" y="405074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983" name="Callout: Double Bent Line with Border and Accent Bar 982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100-0000D7030000}"/>
            </a:ext>
          </a:extLst>
        </xdr:cNvPr>
        <xdr:cNvSpPr/>
      </xdr:nvSpPr>
      <xdr:spPr>
        <a:xfrm>
          <a:off x="12905852" y="1493645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984" name="Callout: Line 3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D8030000}"/>
            </a:ext>
          </a:extLst>
        </xdr:cNvPr>
        <xdr:cNvSpPr>
          <a:spLocks/>
        </xdr:cNvSpPr>
      </xdr:nvSpPr>
      <xdr:spPr bwMode="auto">
        <a:xfrm>
          <a:off x="13575742" y="1493645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985" name="Callout: Line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D9030000}"/>
            </a:ext>
          </a:extLst>
        </xdr:cNvPr>
        <xdr:cNvSpPr>
          <a:spLocks/>
        </xdr:cNvSpPr>
      </xdr:nvSpPr>
      <xdr:spPr bwMode="auto">
        <a:xfrm>
          <a:off x="13575742" y="1514579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986" name="Callout: Lin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DA030000}"/>
            </a:ext>
          </a:extLst>
        </xdr:cNvPr>
        <xdr:cNvSpPr>
          <a:spLocks/>
        </xdr:cNvSpPr>
      </xdr:nvSpPr>
      <xdr:spPr bwMode="auto">
        <a:xfrm>
          <a:off x="13575742" y="153551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987" name="Callout: Line 16">
          <a:extLst>
            <a:ext uri="{FF2B5EF4-FFF2-40B4-BE49-F238E27FC236}">
              <a16:creationId xmlns:a16="http://schemas.microsoft.com/office/drawing/2014/main" id="{00000000-0008-0000-0100-0000DB030000}"/>
            </a:ext>
          </a:extLst>
        </xdr:cNvPr>
        <xdr:cNvSpPr>
          <a:spLocks/>
        </xdr:cNvSpPr>
      </xdr:nvSpPr>
      <xdr:spPr bwMode="auto">
        <a:xfrm>
          <a:off x="13575742" y="1556447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solidFill>
          <a:srgbClr val="FFFF00"/>
        </a:solidFill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988" name="Callout: Lin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DC030000}"/>
            </a:ext>
          </a:extLst>
        </xdr:cNvPr>
        <xdr:cNvSpPr>
          <a:spLocks/>
        </xdr:cNvSpPr>
      </xdr:nvSpPr>
      <xdr:spPr bwMode="auto">
        <a:xfrm>
          <a:off x="13575742" y="1577381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989" name="Callout: Lin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DD030000}"/>
            </a:ext>
          </a:extLst>
        </xdr:cNvPr>
        <xdr:cNvSpPr>
          <a:spLocks/>
        </xdr:cNvSpPr>
      </xdr:nvSpPr>
      <xdr:spPr bwMode="auto">
        <a:xfrm>
          <a:off x="13575742" y="1598315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990" name="Callout: Lin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DE030000}"/>
            </a:ext>
          </a:extLst>
        </xdr:cNvPr>
        <xdr:cNvSpPr>
          <a:spLocks/>
        </xdr:cNvSpPr>
      </xdr:nvSpPr>
      <xdr:spPr bwMode="auto">
        <a:xfrm>
          <a:off x="13575742" y="1619250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991" name="Callout: Lin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DF030000}"/>
            </a:ext>
          </a:extLst>
        </xdr:cNvPr>
        <xdr:cNvSpPr>
          <a:spLocks/>
        </xdr:cNvSpPr>
      </xdr:nvSpPr>
      <xdr:spPr bwMode="auto">
        <a:xfrm>
          <a:off x="13575742" y="1640184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992" name="Callout: Lin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E0030000}"/>
            </a:ext>
          </a:extLst>
        </xdr:cNvPr>
        <xdr:cNvSpPr>
          <a:spLocks/>
        </xdr:cNvSpPr>
      </xdr:nvSpPr>
      <xdr:spPr bwMode="auto">
        <a:xfrm>
          <a:off x="13575742" y="2016997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27</xdr:col>
      <xdr:colOff>301292</xdr:colOff>
      <xdr:row>0</xdr:row>
      <xdr:rowOff>150395</xdr:rowOff>
    </xdr:from>
    <xdr:to>
      <xdr:col>29</xdr:col>
      <xdr:colOff>751974</xdr:colOff>
      <xdr:row>1</xdr:row>
      <xdr:rowOff>140369</xdr:rowOff>
    </xdr:to>
    <xdr:sp macro="[0]!AfficherFormulaire" textlink="">
      <xdr:nvSpPr>
        <xdr:cNvPr id="993" name="Rectangle à coins arrondis 7">
          <a:extLst>
            <a:ext uri="{FF2B5EF4-FFF2-40B4-BE49-F238E27FC236}">
              <a16:creationId xmlns:a16="http://schemas.microsoft.com/office/drawing/2014/main" id="{00000000-0008-0000-0100-0000E1030000}"/>
            </a:ext>
          </a:extLst>
        </xdr:cNvPr>
        <xdr:cNvSpPr/>
      </xdr:nvSpPr>
      <xdr:spPr>
        <a:xfrm>
          <a:off x="772308" y="150395"/>
          <a:ext cx="2858100" cy="27258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Affiche</a:t>
          </a:r>
          <a:r>
            <a:rPr lang="fr-FR" sz="1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 Formulaire avancé </a:t>
          </a:r>
          <a:endParaRPr lang="fr-FR" sz="12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994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E2030000}"/>
            </a:ext>
          </a:extLst>
        </xdr:cNvPr>
        <xdr:cNvSpPr>
          <a:spLocks/>
        </xdr:cNvSpPr>
      </xdr:nvSpPr>
      <xdr:spPr bwMode="auto">
        <a:xfrm>
          <a:off x="13575742" y="555451"/>
          <a:ext cx="304800" cy="14584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995" name="Callout: Double Bent Line with Border and Accent Bar 994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E3030000}"/>
            </a:ext>
          </a:extLst>
        </xdr:cNvPr>
        <xdr:cNvSpPr/>
      </xdr:nvSpPr>
      <xdr:spPr>
        <a:xfrm>
          <a:off x="12905852" y="92842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996" name="Callout: Lin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E4030000}"/>
            </a:ext>
          </a:extLst>
        </xdr:cNvPr>
        <xdr:cNvSpPr>
          <a:spLocks/>
        </xdr:cNvSpPr>
      </xdr:nvSpPr>
      <xdr:spPr bwMode="auto">
        <a:xfrm>
          <a:off x="13575742" y="92842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997" name="Callout: Double Bent Line with Border and Accent Bar 996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E5030000}"/>
            </a:ext>
          </a:extLst>
        </xdr:cNvPr>
        <xdr:cNvSpPr/>
      </xdr:nvSpPr>
      <xdr:spPr>
        <a:xfrm>
          <a:off x="12905852" y="949359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998" name="Callout: Lin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E6030000}"/>
            </a:ext>
          </a:extLst>
        </xdr:cNvPr>
        <xdr:cNvSpPr>
          <a:spLocks/>
        </xdr:cNvSpPr>
      </xdr:nvSpPr>
      <xdr:spPr bwMode="auto">
        <a:xfrm>
          <a:off x="13575742" y="949359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999" name="Callout: Double Bent Line with Border and Accent Bar 998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E7030000}"/>
            </a:ext>
          </a:extLst>
        </xdr:cNvPr>
        <xdr:cNvSpPr/>
      </xdr:nvSpPr>
      <xdr:spPr>
        <a:xfrm>
          <a:off x="12905852" y="279469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25400</xdr:rowOff>
    </xdr:from>
    <xdr:to>
      <xdr:col>40</xdr:col>
      <xdr:colOff>304800</xdr:colOff>
      <xdr:row>1</xdr:row>
      <xdr:rowOff>152400</xdr:rowOff>
    </xdr:to>
    <xdr:sp macro="[1]!CalloutLine1_Click" textlink="">
      <xdr:nvSpPr>
        <xdr:cNvPr id="1000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E8030000}"/>
            </a:ext>
          </a:extLst>
        </xdr:cNvPr>
        <xdr:cNvSpPr>
          <a:spLocks/>
        </xdr:cNvSpPr>
      </xdr:nvSpPr>
      <xdr:spPr bwMode="auto">
        <a:xfrm>
          <a:off x="13575742" y="282009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001" name="Callout: Double Bent Line with Border and Accent Bar 1000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E9030000}"/>
            </a:ext>
          </a:extLst>
        </xdr:cNvPr>
        <xdr:cNvSpPr/>
      </xdr:nvSpPr>
      <xdr:spPr>
        <a:xfrm>
          <a:off x="12905852" y="572546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002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EA030000}"/>
            </a:ext>
          </a:extLst>
        </xdr:cNvPr>
        <xdr:cNvSpPr>
          <a:spLocks/>
        </xdr:cNvSpPr>
      </xdr:nvSpPr>
      <xdr:spPr bwMode="auto">
        <a:xfrm>
          <a:off x="13575742" y="572546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003" name="Callout: Double Bent Line with Border and Accent Bar 1002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100-0000EB030000}"/>
            </a:ext>
          </a:extLst>
        </xdr:cNvPr>
        <xdr:cNvSpPr/>
      </xdr:nvSpPr>
      <xdr:spPr>
        <a:xfrm>
          <a:off x="12905852" y="593480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004" name="Callout: Line 7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EC030000}"/>
            </a:ext>
          </a:extLst>
        </xdr:cNvPr>
        <xdr:cNvSpPr>
          <a:spLocks/>
        </xdr:cNvSpPr>
      </xdr:nvSpPr>
      <xdr:spPr bwMode="auto">
        <a:xfrm>
          <a:off x="13575742" y="593480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005" name="Callout: Double Bent Line with Border and Accent Bar 1004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100-0000ED030000}"/>
            </a:ext>
          </a:extLst>
        </xdr:cNvPr>
        <xdr:cNvSpPr/>
      </xdr:nvSpPr>
      <xdr:spPr>
        <a:xfrm>
          <a:off x="12905852" y="614414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006" name="Callout: Line 7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EE030000}"/>
            </a:ext>
          </a:extLst>
        </xdr:cNvPr>
        <xdr:cNvSpPr>
          <a:spLocks/>
        </xdr:cNvSpPr>
      </xdr:nvSpPr>
      <xdr:spPr bwMode="auto">
        <a:xfrm>
          <a:off x="13575742" y="614414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007" name="Callout: Double Bent Line with Border and Accent Bar 1006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EF030000}"/>
            </a:ext>
          </a:extLst>
        </xdr:cNvPr>
        <xdr:cNvSpPr/>
      </xdr:nvSpPr>
      <xdr:spPr>
        <a:xfrm>
          <a:off x="12905852" y="63534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008" name="Callout: Line 7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F0030000}"/>
            </a:ext>
          </a:extLst>
        </xdr:cNvPr>
        <xdr:cNvSpPr>
          <a:spLocks/>
        </xdr:cNvSpPr>
      </xdr:nvSpPr>
      <xdr:spPr bwMode="auto">
        <a:xfrm>
          <a:off x="13575742" y="63534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009" name="Callout: Double Bent Line with Border and Accent Bar 1008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F1030000}"/>
            </a:ext>
          </a:extLst>
        </xdr:cNvPr>
        <xdr:cNvSpPr/>
      </xdr:nvSpPr>
      <xdr:spPr>
        <a:xfrm>
          <a:off x="12905852" y="69815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010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F2030000}"/>
            </a:ext>
          </a:extLst>
        </xdr:cNvPr>
        <xdr:cNvSpPr>
          <a:spLocks/>
        </xdr:cNvSpPr>
      </xdr:nvSpPr>
      <xdr:spPr bwMode="auto">
        <a:xfrm>
          <a:off x="13575742" y="69815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011" name="Callout: Double Bent Line with Border and Accent Bar 1010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F3030000}"/>
            </a:ext>
          </a:extLst>
        </xdr:cNvPr>
        <xdr:cNvSpPr/>
      </xdr:nvSpPr>
      <xdr:spPr>
        <a:xfrm>
          <a:off x="12905852" y="719085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012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F4030000}"/>
            </a:ext>
          </a:extLst>
        </xdr:cNvPr>
        <xdr:cNvSpPr>
          <a:spLocks/>
        </xdr:cNvSpPr>
      </xdr:nvSpPr>
      <xdr:spPr bwMode="auto">
        <a:xfrm>
          <a:off x="13575742" y="719085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27</xdr:col>
      <xdr:colOff>301292</xdr:colOff>
      <xdr:row>0</xdr:row>
      <xdr:rowOff>150395</xdr:rowOff>
    </xdr:from>
    <xdr:to>
      <xdr:col>29</xdr:col>
      <xdr:colOff>751974</xdr:colOff>
      <xdr:row>1</xdr:row>
      <xdr:rowOff>140369</xdr:rowOff>
    </xdr:to>
    <xdr:sp macro="[0]!AfficherFormulaire" textlink="">
      <xdr:nvSpPr>
        <xdr:cNvPr id="1013" name="Rectangle à coins arrondis 7">
          <a:extLst>
            <a:ext uri="{FF2B5EF4-FFF2-40B4-BE49-F238E27FC236}">
              <a16:creationId xmlns:a16="http://schemas.microsoft.com/office/drawing/2014/main" id="{00000000-0008-0000-0100-0000F5030000}"/>
            </a:ext>
          </a:extLst>
        </xdr:cNvPr>
        <xdr:cNvSpPr/>
      </xdr:nvSpPr>
      <xdr:spPr>
        <a:xfrm>
          <a:off x="772308" y="150395"/>
          <a:ext cx="2858100" cy="27258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Affiche</a:t>
          </a:r>
          <a:r>
            <a:rPr lang="fr-FR" sz="1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rPr>
            <a:t> Formulaire avancé </a:t>
          </a:r>
          <a:endParaRPr lang="fr-FR" sz="12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40</xdr:col>
      <xdr:colOff>0</xdr:colOff>
      <xdr:row>2</xdr:row>
      <xdr:rowOff>63500</xdr:rowOff>
    </xdr:from>
    <xdr:to>
      <xdr:col>40</xdr:col>
      <xdr:colOff>304800</xdr:colOff>
      <xdr:row>3</xdr:row>
      <xdr:rowOff>0</xdr:rowOff>
    </xdr:to>
    <xdr:sp macro="[1]!CalloutLine1_Click" textlink="">
      <xdr:nvSpPr>
        <xdr:cNvPr id="1014" name="Callout: Lin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F6030000}"/>
            </a:ext>
          </a:extLst>
        </xdr:cNvPr>
        <xdr:cNvSpPr>
          <a:spLocks/>
        </xdr:cNvSpPr>
      </xdr:nvSpPr>
      <xdr:spPr bwMode="auto">
        <a:xfrm>
          <a:off x="13575742" y="555451"/>
          <a:ext cx="304800" cy="14584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015" name="Callout: Double Bent Line with Border and Accent Bar 1014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F7030000}"/>
            </a:ext>
          </a:extLst>
        </xdr:cNvPr>
        <xdr:cNvSpPr/>
      </xdr:nvSpPr>
      <xdr:spPr>
        <a:xfrm>
          <a:off x="12905852" y="928425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016" name="Callout: Lin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F8030000}"/>
            </a:ext>
          </a:extLst>
        </xdr:cNvPr>
        <xdr:cNvSpPr>
          <a:spLocks/>
        </xdr:cNvSpPr>
      </xdr:nvSpPr>
      <xdr:spPr bwMode="auto">
        <a:xfrm>
          <a:off x="13575742" y="928425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017" name="Callout: Double Bent Line with Border and Accent Bar 1016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F9030000}"/>
            </a:ext>
          </a:extLst>
        </xdr:cNvPr>
        <xdr:cNvSpPr/>
      </xdr:nvSpPr>
      <xdr:spPr>
        <a:xfrm>
          <a:off x="12905852" y="949359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018" name="Callout: Lin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FA030000}"/>
            </a:ext>
          </a:extLst>
        </xdr:cNvPr>
        <xdr:cNvSpPr>
          <a:spLocks/>
        </xdr:cNvSpPr>
      </xdr:nvSpPr>
      <xdr:spPr bwMode="auto">
        <a:xfrm>
          <a:off x="13575742" y="949359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019" name="Callout: Double Bent Line with Border and Accent Bar 1018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FB030000}"/>
            </a:ext>
          </a:extLst>
        </xdr:cNvPr>
        <xdr:cNvSpPr/>
      </xdr:nvSpPr>
      <xdr:spPr>
        <a:xfrm>
          <a:off x="12905852" y="844689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020" name="Callout: Line 3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FC030000}"/>
            </a:ext>
          </a:extLst>
        </xdr:cNvPr>
        <xdr:cNvSpPr>
          <a:spLocks/>
        </xdr:cNvSpPr>
      </xdr:nvSpPr>
      <xdr:spPr bwMode="auto">
        <a:xfrm>
          <a:off x="13575742" y="844689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021" name="Callout: Double Bent Line with Border and Accent Bar 1020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FD030000}"/>
            </a:ext>
          </a:extLst>
        </xdr:cNvPr>
        <xdr:cNvSpPr/>
      </xdr:nvSpPr>
      <xdr:spPr>
        <a:xfrm>
          <a:off x="12905852" y="865623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022" name="Callout: Line 3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FE030000}"/>
            </a:ext>
          </a:extLst>
        </xdr:cNvPr>
        <xdr:cNvSpPr>
          <a:spLocks/>
        </xdr:cNvSpPr>
      </xdr:nvSpPr>
      <xdr:spPr bwMode="auto">
        <a:xfrm>
          <a:off x="13575742" y="865623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023" name="Callout: Double Bent Line with Border and Accent Bar 1022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100-0000FF030000}"/>
            </a:ext>
          </a:extLst>
        </xdr:cNvPr>
        <xdr:cNvSpPr/>
      </xdr:nvSpPr>
      <xdr:spPr>
        <a:xfrm>
          <a:off x="12905852" y="886557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024" name="Callout: Line 2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SpPr>
          <a:spLocks/>
        </xdr:cNvSpPr>
      </xdr:nvSpPr>
      <xdr:spPr bwMode="auto">
        <a:xfrm>
          <a:off x="13575742" y="886557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025" name="Callout: Double Bent Line with Border and Accent Bar 1024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12905852" y="907491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026" name="Callout: Line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/>
        </xdr:cNvSpPr>
      </xdr:nvSpPr>
      <xdr:spPr bwMode="auto">
        <a:xfrm>
          <a:off x="13575742" y="907491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029" name="Callout: Double Bent Line with Border and Accent Bar 1028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>
        <a:xfrm>
          <a:off x="12905852" y="1409909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030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SpPr>
          <a:spLocks/>
        </xdr:cNvSpPr>
      </xdr:nvSpPr>
      <xdr:spPr bwMode="auto">
        <a:xfrm>
          <a:off x="13575742" y="1409909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031" name="Callout: Double Bent Line with Border and Accent Bar 103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SpPr/>
      </xdr:nvSpPr>
      <xdr:spPr>
        <a:xfrm>
          <a:off x="12905852" y="1430843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032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SpPr>
          <a:spLocks/>
        </xdr:cNvSpPr>
      </xdr:nvSpPr>
      <xdr:spPr bwMode="auto">
        <a:xfrm>
          <a:off x="13575742" y="1430843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033" name="Callout: Double Bent Line with Border and Accent Bar 1032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/>
      </xdr:nvSpPr>
      <xdr:spPr>
        <a:xfrm>
          <a:off x="12905852" y="1451777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034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>
          <a:spLocks/>
        </xdr:cNvSpPr>
      </xdr:nvSpPr>
      <xdr:spPr bwMode="auto">
        <a:xfrm>
          <a:off x="13575742" y="1451777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035" name="Callout: Double Bent Line with Border and Accent Bar 1034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SpPr/>
      </xdr:nvSpPr>
      <xdr:spPr>
        <a:xfrm>
          <a:off x="12905852" y="1472711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036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SpPr>
          <a:spLocks/>
        </xdr:cNvSpPr>
      </xdr:nvSpPr>
      <xdr:spPr bwMode="auto">
        <a:xfrm>
          <a:off x="13575742" y="1472711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037" name="Callout: Double Bent Line with Border and Accent Bar 1036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038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0E040000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039" name="Callout: Double Bent Line with Border and Accent Bar 103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040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041" name="Callout: Double Bent Line with Border and Accent Bar 1040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042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12040000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043" name="Callout: Double Bent Line with Border and Accent Bar 1042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044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14040000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045" name="Callout: Double Bent Line with Border and Accent Bar 1044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046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16040000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047" name="Callout: Double Bent Line with Border and Accent Bar 1046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048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18040000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049" name="Callout: Double Bent Line with Border and Accent Bar 1048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050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051" name="Callout: Double Bent Line with Border and Accent Bar 1050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052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053" name="Callout: Double Bent Line with Border and Accent Bar 1052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054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E040000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055" name="Callout: Double Bent Line with Border and Accent Bar 1054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056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057" name="Callout: Double Bent Line with Border and Accent Bar 1056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058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059" name="Callout: Double Bent Line with Border and Accent Bar 1058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060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061" name="Callout: Double Bent Line with Border and Accent Bar 1060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062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26040000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063" name="Callout: Double Bent Line with Border and Accent Bar 1062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064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065" name="Callout: Double Bent Line with Border and Accent Bar 1064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066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2A040000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067" name="Callout: Double Bent Line with Border and Accent Bar 1066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068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2C040000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069" name="Callout: Double Bent Line with Border and Accent Bar 1068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SpPr/>
      </xdr:nvSpPr>
      <xdr:spPr>
        <a:xfrm>
          <a:off x="12905852" y="321337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070" name="Callout: Double Bent Line with Border and Accent Bar 1069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SpPr/>
      </xdr:nvSpPr>
      <xdr:spPr>
        <a:xfrm>
          <a:off x="12905852" y="363206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071" name="Callout: Line 4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>
          <a:spLocks/>
        </xdr:cNvSpPr>
      </xdr:nvSpPr>
      <xdr:spPr bwMode="auto">
        <a:xfrm>
          <a:off x="13575742" y="363206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072" name="Callout: Double Bent Line with Border and Accent Bar 1071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0000000-0008-0000-0100-000030040000}"/>
            </a:ext>
          </a:extLst>
        </xdr:cNvPr>
        <xdr:cNvSpPr/>
      </xdr:nvSpPr>
      <xdr:spPr>
        <a:xfrm>
          <a:off x="12905852" y="384140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073" name="Callout: Line 4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SpPr>
          <a:spLocks/>
        </xdr:cNvSpPr>
      </xdr:nvSpPr>
      <xdr:spPr bwMode="auto">
        <a:xfrm>
          <a:off x="13575742" y="384140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074" name="Callout: Double Bent Line with Border and Accent Bar 1073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100-000032040000}"/>
            </a:ext>
          </a:extLst>
        </xdr:cNvPr>
        <xdr:cNvSpPr/>
      </xdr:nvSpPr>
      <xdr:spPr>
        <a:xfrm>
          <a:off x="12905852" y="446942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075" name="Callout: Line 2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33040000}"/>
            </a:ext>
          </a:extLst>
        </xdr:cNvPr>
        <xdr:cNvSpPr>
          <a:spLocks/>
        </xdr:cNvSpPr>
      </xdr:nvSpPr>
      <xdr:spPr bwMode="auto">
        <a:xfrm>
          <a:off x="13575742" y="446942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076" name="Callout: Double Bent Line with Border and Accent Bar 1075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100-000034040000}"/>
            </a:ext>
          </a:extLst>
        </xdr:cNvPr>
        <xdr:cNvSpPr/>
      </xdr:nvSpPr>
      <xdr:spPr>
        <a:xfrm>
          <a:off x="12905852" y="467876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19050</xdr:colOff>
      <xdr:row>6</xdr:row>
      <xdr:rowOff>19050</xdr:rowOff>
    </xdr:from>
    <xdr:to>
      <xdr:col>40</xdr:col>
      <xdr:colOff>323850</xdr:colOff>
      <xdr:row>6</xdr:row>
      <xdr:rowOff>146050</xdr:rowOff>
    </xdr:to>
    <xdr:sp macro="[1]!CalloutLine1_Click" textlink="">
      <xdr:nvSpPr>
        <xdr:cNvPr id="1077" name="Callout: Line 3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35040000}"/>
            </a:ext>
          </a:extLst>
        </xdr:cNvPr>
        <xdr:cNvSpPr>
          <a:spLocks/>
        </xdr:cNvSpPr>
      </xdr:nvSpPr>
      <xdr:spPr bwMode="auto">
        <a:xfrm>
          <a:off x="13594792" y="469781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078" name="Callout: Double Bent Line with Border and Accent Bar 1077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100-000036040000}"/>
            </a:ext>
          </a:extLst>
        </xdr:cNvPr>
        <xdr:cNvSpPr/>
      </xdr:nvSpPr>
      <xdr:spPr>
        <a:xfrm>
          <a:off x="12905852" y="677217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079" name="Callout: Line 4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37040000}"/>
            </a:ext>
          </a:extLst>
        </xdr:cNvPr>
        <xdr:cNvSpPr>
          <a:spLocks/>
        </xdr:cNvSpPr>
      </xdr:nvSpPr>
      <xdr:spPr bwMode="auto">
        <a:xfrm>
          <a:off x="13575742" y="677217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080" name="Callout: Double Bent Line with Border and Accent Bar 1079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38040000}"/>
            </a:ext>
          </a:extLst>
        </xdr:cNvPr>
        <xdr:cNvSpPr/>
      </xdr:nvSpPr>
      <xdr:spPr>
        <a:xfrm>
          <a:off x="12905852" y="802821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081" name="Callout: Line 72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SpPr>
          <a:spLocks/>
        </xdr:cNvSpPr>
      </xdr:nvSpPr>
      <xdr:spPr bwMode="auto">
        <a:xfrm>
          <a:off x="13575742" y="802821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082" name="Callout: Double Bent Line with Border and Accent Bar 1081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100-00003A040000}"/>
            </a:ext>
          </a:extLst>
        </xdr:cNvPr>
        <xdr:cNvSpPr/>
      </xdr:nvSpPr>
      <xdr:spPr>
        <a:xfrm>
          <a:off x="12905852" y="823755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083" name="Callout: Line 7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100-00003B040000}"/>
            </a:ext>
          </a:extLst>
        </xdr:cNvPr>
        <xdr:cNvSpPr>
          <a:spLocks/>
        </xdr:cNvSpPr>
      </xdr:nvSpPr>
      <xdr:spPr bwMode="auto">
        <a:xfrm>
          <a:off x="13575742" y="823755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084" name="Callout: Double Bent Line with Border and Accent Bar 1083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3C040000}"/>
            </a:ext>
          </a:extLst>
        </xdr:cNvPr>
        <xdr:cNvSpPr/>
      </xdr:nvSpPr>
      <xdr:spPr>
        <a:xfrm>
          <a:off x="12905852" y="1012162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085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3D040000}"/>
            </a:ext>
          </a:extLst>
        </xdr:cNvPr>
        <xdr:cNvSpPr>
          <a:spLocks/>
        </xdr:cNvSpPr>
      </xdr:nvSpPr>
      <xdr:spPr bwMode="auto">
        <a:xfrm>
          <a:off x="13575742" y="1012162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086" name="Callout: Double Bent Line with Border and Accent Bar 1085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0100-00003E040000}"/>
            </a:ext>
          </a:extLst>
        </xdr:cNvPr>
        <xdr:cNvSpPr/>
      </xdr:nvSpPr>
      <xdr:spPr>
        <a:xfrm>
          <a:off x="12905852" y="1033096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087" name="Callout: Line 7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3F040000}"/>
            </a:ext>
          </a:extLst>
        </xdr:cNvPr>
        <xdr:cNvSpPr>
          <a:spLocks/>
        </xdr:cNvSpPr>
      </xdr:nvSpPr>
      <xdr:spPr bwMode="auto">
        <a:xfrm>
          <a:off x="13575742" y="1033096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088" name="Callout: Double Bent Line with Border and Accent Bar 1087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0100-000040040000}"/>
            </a:ext>
          </a:extLst>
        </xdr:cNvPr>
        <xdr:cNvSpPr/>
      </xdr:nvSpPr>
      <xdr:spPr>
        <a:xfrm>
          <a:off x="12905852" y="1054030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089" name="Callout: Line 7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100-000041040000}"/>
            </a:ext>
          </a:extLst>
        </xdr:cNvPr>
        <xdr:cNvSpPr>
          <a:spLocks/>
        </xdr:cNvSpPr>
      </xdr:nvSpPr>
      <xdr:spPr bwMode="auto">
        <a:xfrm>
          <a:off x="13575742" y="1054030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090" name="Callout: Double Bent Line with Border and Accent Bar 1089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42040000}"/>
            </a:ext>
          </a:extLst>
        </xdr:cNvPr>
        <xdr:cNvSpPr/>
      </xdr:nvSpPr>
      <xdr:spPr>
        <a:xfrm>
          <a:off x="12905852" y="1074964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091" name="Callout: Line 73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100-000043040000}"/>
            </a:ext>
          </a:extLst>
        </xdr:cNvPr>
        <xdr:cNvSpPr>
          <a:spLocks/>
        </xdr:cNvSpPr>
      </xdr:nvSpPr>
      <xdr:spPr bwMode="auto">
        <a:xfrm>
          <a:off x="13575742" y="1074964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092" name="Callout: Double Bent Line with Border and Accent Bar 1091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100-000044040000}"/>
            </a:ext>
          </a:extLst>
        </xdr:cNvPr>
        <xdr:cNvSpPr/>
      </xdr:nvSpPr>
      <xdr:spPr>
        <a:xfrm>
          <a:off x="12905852" y="1095898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14</xdr:row>
      <xdr:rowOff>9525</xdr:rowOff>
    </xdr:from>
    <xdr:to>
      <xdr:col>40</xdr:col>
      <xdr:colOff>314325</xdr:colOff>
      <xdr:row>14</xdr:row>
      <xdr:rowOff>161925</xdr:rowOff>
    </xdr:to>
    <xdr:sp macro="[1]!CalloutLine1_Click" textlink="">
      <xdr:nvSpPr>
        <xdr:cNvPr id="1093" name="Callout: Line 6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45040000}"/>
            </a:ext>
          </a:extLst>
        </xdr:cNvPr>
        <xdr:cNvSpPr>
          <a:spLocks/>
        </xdr:cNvSpPr>
      </xdr:nvSpPr>
      <xdr:spPr bwMode="auto">
        <a:xfrm>
          <a:off x="13585267" y="10968509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094" name="Callout: Double Bent Line with Border and Accent Bar 1093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46040000}"/>
            </a:ext>
          </a:extLst>
        </xdr:cNvPr>
        <xdr:cNvSpPr/>
      </xdr:nvSpPr>
      <xdr:spPr>
        <a:xfrm>
          <a:off x="12905852" y="1116832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15</xdr:row>
      <xdr:rowOff>19050</xdr:rowOff>
    </xdr:from>
    <xdr:to>
      <xdr:col>40</xdr:col>
      <xdr:colOff>314325</xdr:colOff>
      <xdr:row>15</xdr:row>
      <xdr:rowOff>146050</xdr:rowOff>
    </xdr:to>
    <xdr:sp macro="[1]!CalloutLine1_Click" textlink="">
      <xdr:nvSpPr>
        <xdr:cNvPr id="1095" name="Callout: Line 72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100-000047040000}"/>
            </a:ext>
          </a:extLst>
        </xdr:cNvPr>
        <xdr:cNvSpPr>
          <a:spLocks/>
        </xdr:cNvSpPr>
      </xdr:nvSpPr>
      <xdr:spPr bwMode="auto">
        <a:xfrm>
          <a:off x="13585267" y="1118737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096" name="Callout: Double Bent Line with Border and Accent Bar 1095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48040000}"/>
            </a:ext>
          </a:extLst>
        </xdr:cNvPr>
        <xdr:cNvSpPr/>
      </xdr:nvSpPr>
      <xdr:spPr>
        <a:xfrm>
          <a:off x="12905852" y="1137766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19050</xdr:rowOff>
    </xdr:from>
    <xdr:to>
      <xdr:col>40</xdr:col>
      <xdr:colOff>304800</xdr:colOff>
      <xdr:row>16</xdr:row>
      <xdr:rowOff>146050</xdr:rowOff>
    </xdr:to>
    <xdr:sp macro="[1]!CalloutLine1_Click" textlink="">
      <xdr:nvSpPr>
        <xdr:cNvPr id="1097" name="Callout: Line 7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49040000}"/>
            </a:ext>
          </a:extLst>
        </xdr:cNvPr>
        <xdr:cNvSpPr>
          <a:spLocks/>
        </xdr:cNvSpPr>
      </xdr:nvSpPr>
      <xdr:spPr bwMode="auto">
        <a:xfrm>
          <a:off x="13575742" y="1139671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17</xdr:row>
      <xdr:rowOff>0</xdr:rowOff>
    </xdr:from>
    <xdr:to>
      <xdr:col>39</xdr:col>
      <xdr:colOff>266700</xdr:colOff>
      <xdr:row>17</xdr:row>
      <xdr:rowOff>114300</xdr:rowOff>
    </xdr:to>
    <xdr:sp macro="" textlink="">
      <xdr:nvSpPr>
        <xdr:cNvPr id="1098" name="Callout: Double Bent Line with Border and Accent Bar 1097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0000000-0008-0000-0100-00004A040000}"/>
            </a:ext>
          </a:extLst>
        </xdr:cNvPr>
        <xdr:cNvSpPr/>
      </xdr:nvSpPr>
      <xdr:spPr>
        <a:xfrm>
          <a:off x="12905852" y="1158700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17</xdr:row>
      <xdr:rowOff>9525</xdr:rowOff>
    </xdr:from>
    <xdr:to>
      <xdr:col>40</xdr:col>
      <xdr:colOff>304800</xdr:colOff>
      <xdr:row>17</xdr:row>
      <xdr:rowOff>161925</xdr:rowOff>
    </xdr:to>
    <xdr:sp macro="[1]!CalloutLine1_Click" textlink="">
      <xdr:nvSpPr>
        <xdr:cNvPr id="1099" name="Callout: Line 6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100-00004B040000}"/>
            </a:ext>
          </a:extLst>
        </xdr:cNvPr>
        <xdr:cNvSpPr>
          <a:spLocks/>
        </xdr:cNvSpPr>
      </xdr:nvSpPr>
      <xdr:spPr bwMode="auto">
        <a:xfrm>
          <a:off x="13575742" y="11596530"/>
          <a:ext cx="304800" cy="1524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39</xdr:col>
      <xdr:colOff>266700</xdr:colOff>
      <xdr:row>18</xdr:row>
      <xdr:rowOff>114300</xdr:rowOff>
    </xdr:to>
    <xdr:sp macro="" textlink="">
      <xdr:nvSpPr>
        <xdr:cNvPr id="1100" name="Callout: Double Bent Line with Border and Accent Bar 1099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4C040000}"/>
            </a:ext>
          </a:extLst>
        </xdr:cNvPr>
        <xdr:cNvSpPr/>
      </xdr:nvSpPr>
      <xdr:spPr>
        <a:xfrm>
          <a:off x="12905852" y="1179634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40</xdr:col>
      <xdr:colOff>304800</xdr:colOff>
      <xdr:row>18</xdr:row>
      <xdr:rowOff>127000</xdr:rowOff>
    </xdr:to>
    <xdr:sp macro="[1]!CalloutLine1_Click" textlink="">
      <xdr:nvSpPr>
        <xdr:cNvPr id="1101" name="Callout: Line 72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100-00004D040000}"/>
            </a:ext>
          </a:extLst>
        </xdr:cNvPr>
        <xdr:cNvSpPr>
          <a:spLocks/>
        </xdr:cNvSpPr>
      </xdr:nvSpPr>
      <xdr:spPr bwMode="auto">
        <a:xfrm>
          <a:off x="13575742" y="1179634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39</xdr:col>
      <xdr:colOff>266700</xdr:colOff>
      <xdr:row>19</xdr:row>
      <xdr:rowOff>114300</xdr:rowOff>
    </xdr:to>
    <xdr:sp macro="" textlink="">
      <xdr:nvSpPr>
        <xdr:cNvPr id="1102" name="Callout: Double Bent Line with Border and Accent Bar 110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100-00004E040000}"/>
            </a:ext>
          </a:extLst>
        </xdr:cNvPr>
        <xdr:cNvSpPr/>
      </xdr:nvSpPr>
      <xdr:spPr>
        <a:xfrm>
          <a:off x="12905852" y="1200568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19</xdr:row>
      <xdr:rowOff>19050</xdr:rowOff>
    </xdr:from>
    <xdr:to>
      <xdr:col>40</xdr:col>
      <xdr:colOff>314325</xdr:colOff>
      <xdr:row>19</xdr:row>
      <xdr:rowOff>146050</xdr:rowOff>
    </xdr:to>
    <xdr:sp macro="[1]!CalloutLine1_Click" textlink="">
      <xdr:nvSpPr>
        <xdr:cNvPr id="1103" name="Callout: Line 6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100-00004F040000}"/>
            </a:ext>
          </a:extLst>
        </xdr:cNvPr>
        <xdr:cNvSpPr>
          <a:spLocks/>
        </xdr:cNvSpPr>
      </xdr:nvSpPr>
      <xdr:spPr bwMode="auto">
        <a:xfrm>
          <a:off x="13585267" y="120247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39</xdr:col>
      <xdr:colOff>266700</xdr:colOff>
      <xdr:row>20</xdr:row>
      <xdr:rowOff>114300</xdr:rowOff>
    </xdr:to>
    <xdr:sp macro="" textlink="">
      <xdr:nvSpPr>
        <xdr:cNvPr id="1104" name="Callout: Double Bent Line with Border and Accent Bar 1103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50040000}"/>
            </a:ext>
          </a:extLst>
        </xdr:cNvPr>
        <xdr:cNvSpPr/>
      </xdr:nvSpPr>
      <xdr:spPr>
        <a:xfrm>
          <a:off x="12905852" y="1221502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40</xdr:col>
      <xdr:colOff>304800</xdr:colOff>
      <xdr:row>20</xdr:row>
      <xdr:rowOff>127000</xdr:rowOff>
    </xdr:to>
    <xdr:sp macro="[1]!CalloutLine1_Click" textlink="">
      <xdr:nvSpPr>
        <xdr:cNvPr id="1105" name="Callout: Line 7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51040000}"/>
            </a:ext>
          </a:extLst>
        </xdr:cNvPr>
        <xdr:cNvSpPr>
          <a:spLocks/>
        </xdr:cNvSpPr>
      </xdr:nvSpPr>
      <xdr:spPr bwMode="auto">
        <a:xfrm>
          <a:off x="13575742" y="1221502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39</xdr:col>
      <xdr:colOff>266700</xdr:colOff>
      <xdr:row>21</xdr:row>
      <xdr:rowOff>114300</xdr:rowOff>
    </xdr:to>
    <xdr:sp macro="" textlink="">
      <xdr:nvSpPr>
        <xdr:cNvPr id="1106" name="Callout: Double Bent Line with Border and Accent Bar 1105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100-000052040000}"/>
            </a:ext>
          </a:extLst>
        </xdr:cNvPr>
        <xdr:cNvSpPr/>
      </xdr:nvSpPr>
      <xdr:spPr>
        <a:xfrm>
          <a:off x="12905852" y="1242436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40</xdr:col>
      <xdr:colOff>304800</xdr:colOff>
      <xdr:row>21</xdr:row>
      <xdr:rowOff>127000</xdr:rowOff>
    </xdr:to>
    <xdr:sp macro="[1]!CalloutLine1_Click" textlink="">
      <xdr:nvSpPr>
        <xdr:cNvPr id="1107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53040000}"/>
            </a:ext>
          </a:extLst>
        </xdr:cNvPr>
        <xdr:cNvSpPr>
          <a:spLocks/>
        </xdr:cNvSpPr>
      </xdr:nvSpPr>
      <xdr:spPr bwMode="auto">
        <a:xfrm>
          <a:off x="13575742" y="1242436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22</xdr:row>
      <xdr:rowOff>0</xdr:rowOff>
    </xdr:from>
    <xdr:to>
      <xdr:col>39</xdr:col>
      <xdr:colOff>266700</xdr:colOff>
      <xdr:row>22</xdr:row>
      <xdr:rowOff>114300</xdr:rowOff>
    </xdr:to>
    <xdr:sp macro="" textlink="">
      <xdr:nvSpPr>
        <xdr:cNvPr id="1108" name="Callout: Double Bent Line with Border and Accent Bar 110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54040000}"/>
            </a:ext>
          </a:extLst>
        </xdr:cNvPr>
        <xdr:cNvSpPr/>
      </xdr:nvSpPr>
      <xdr:spPr>
        <a:xfrm>
          <a:off x="12905852" y="1263370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22</xdr:row>
      <xdr:rowOff>19050</xdr:rowOff>
    </xdr:from>
    <xdr:to>
      <xdr:col>40</xdr:col>
      <xdr:colOff>304800</xdr:colOff>
      <xdr:row>22</xdr:row>
      <xdr:rowOff>146050</xdr:rowOff>
    </xdr:to>
    <xdr:sp macro="[1]!CalloutLine1_Click" textlink="">
      <xdr:nvSpPr>
        <xdr:cNvPr id="1109" name="Callout: Line 6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55040000}"/>
            </a:ext>
          </a:extLst>
        </xdr:cNvPr>
        <xdr:cNvSpPr>
          <a:spLocks/>
        </xdr:cNvSpPr>
      </xdr:nvSpPr>
      <xdr:spPr bwMode="auto">
        <a:xfrm>
          <a:off x="13575742" y="1265275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23</xdr:row>
      <xdr:rowOff>0</xdr:rowOff>
    </xdr:from>
    <xdr:to>
      <xdr:col>39</xdr:col>
      <xdr:colOff>266700</xdr:colOff>
      <xdr:row>23</xdr:row>
      <xdr:rowOff>114300</xdr:rowOff>
    </xdr:to>
    <xdr:sp macro="" textlink="">
      <xdr:nvSpPr>
        <xdr:cNvPr id="1110" name="Callout: Double Bent Line with Border and Accent Bar 1109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00000000-0008-0000-0100-000056040000}"/>
            </a:ext>
          </a:extLst>
        </xdr:cNvPr>
        <xdr:cNvSpPr/>
      </xdr:nvSpPr>
      <xdr:spPr>
        <a:xfrm>
          <a:off x="12905852" y="1284304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40</xdr:col>
      <xdr:colOff>304800</xdr:colOff>
      <xdr:row>23</xdr:row>
      <xdr:rowOff>127000</xdr:rowOff>
    </xdr:to>
    <xdr:sp macro="[1]!CalloutLine1_Click" textlink="">
      <xdr:nvSpPr>
        <xdr:cNvPr id="1111" name="Callout: Line 7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57040000}"/>
            </a:ext>
          </a:extLst>
        </xdr:cNvPr>
        <xdr:cNvSpPr>
          <a:spLocks/>
        </xdr:cNvSpPr>
      </xdr:nvSpPr>
      <xdr:spPr bwMode="auto">
        <a:xfrm>
          <a:off x="13575742" y="1284304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24</xdr:row>
      <xdr:rowOff>0</xdr:rowOff>
    </xdr:from>
    <xdr:to>
      <xdr:col>39</xdr:col>
      <xdr:colOff>266700</xdr:colOff>
      <xdr:row>24</xdr:row>
      <xdr:rowOff>114300</xdr:rowOff>
    </xdr:to>
    <xdr:sp macro="" textlink="">
      <xdr:nvSpPr>
        <xdr:cNvPr id="1112" name="Callout: Double Bent Line with Border and Accent Bar 1111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58040000}"/>
            </a:ext>
          </a:extLst>
        </xdr:cNvPr>
        <xdr:cNvSpPr/>
      </xdr:nvSpPr>
      <xdr:spPr>
        <a:xfrm>
          <a:off x="12905852" y="1305239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24</xdr:row>
      <xdr:rowOff>0</xdr:rowOff>
    </xdr:from>
    <xdr:to>
      <xdr:col>40</xdr:col>
      <xdr:colOff>304800</xdr:colOff>
      <xdr:row>24</xdr:row>
      <xdr:rowOff>127000</xdr:rowOff>
    </xdr:to>
    <xdr:sp macro="[1]!CalloutLine1_Click" textlink="">
      <xdr:nvSpPr>
        <xdr:cNvPr id="1113" name="Callout: Line 7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100-000059040000}"/>
            </a:ext>
          </a:extLst>
        </xdr:cNvPr>
        <xdr:cNvSpPr>
          <a:spLocks/>
        </xdr:cNvSpPr>
      </xdr:nvSpPr>
      <xdr:spPr bwMode="auto">
        <a:xfrm>
          <a:off x="13575742" y="1305239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25</xdr:row>
      <xdr:rowOff>0</xdr:rowOff>
    </xdr:from>
    <xdr:to>
      <xdr:col>39</xdr:col>
      <xdr:colOff>266700</xdr:colOff>
      <xdr:row>25</xdr:row>
      <xdr:rowOff>114300</xdr:rowOff>
    </xdr:to>
    <xdr:sp macro="" textlink="">
      <xdr:nvSpPr>
        <xdr:cNvPr id="1114" name="Callout: Double Bent Line with Border and Accent Bar 1113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0000000-0008-0000-0100-00005A040000}"/>
            </a:ext>
          </a:extLst>
        </xdr:cNvPr>
        <xdr:cNvSpPr/>
      </xdr:nvSpPr>
      <xdr:spPr>
        <a:xfrm>
          <a:off x="12905852" y="1326173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25</xdr:row>
      <xdr:rowOff>28575</xdr:rowOff>
    </xdr:from>
    <xdr:to>
      <xdr:col>40</xdr:col>
      <xdr:colOff>304800</xdr:colOff>
      <xdr:row>25</xdr:row>
      <xdr:rowOff>155575</xdr:rowOff>
    </xdr:to>
    <xdr:sp macro="[1]!CalloutLine1_Click" textlink="">
      <xdr:nvSpPr>
        <xdr:cNvPr id="1115" name="Callout: Line 69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100-00005B040000}"/>
            </a:ext>
          </a:extLst>
        </xdr:cNvPr>
        <xdr:cNvSpPr>
          <a:spLocks/>
        </xdr:cNvSpPr>
      </xdr:nvSpPr>
      <xdr:spPr bwMode="auto">
        <a:xfrm>
          <a:off x="13575742" y="1329030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26</xdr:row>
      <xdr:rowOff>0</xdr:rowOff>
    </xdr:from>
    <xdr:to>
      <xdr:col>39</xdr:col>
      <xdr:colOff>266700</xdr:colOff>
      <xdr:row>26</xdr:row>
      <xdr:rowOff>114300</xdr:rowOff>
    </xdr:to>
    <xdr:sp macro="" textlink="">
      <xdr:nvSpPr>
        <xdr:cNvPr id="1116" name="Callout: Double Bent Line with Border and Accent Bar 1115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100-00005C040000}"/>
            </a:ext>
          </a:extLst>
        </xdr:cNvPr>
        <xdr:cNvSpPr/>
      </xdr:nvSpPr>
      <xdr:spPr>
        <a:xfrm>
          <a:off x="12905852" y="1347107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26</xdr:row>
      <xdr:rowOff>0</xdr:rowOff>
    </xdr:from>
    <xdr:to>
      <xdr:col>40</xdr:col>
      <xdr:colOff>304800</xdr:colOff>
      <xdr:row>26</xdr:row>
      <xdr:rowOff>127000</xdr:rowOff>
    </xdr:to>
    <xdr:sp macro="[1]!CalloutLine1_Click" textlink="">
      <xdr:nvSpPr>
        <xdr:cNvPr id="1117" name="Callout: Line 72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5D040000}"/>
            </a:ext>
          </a:extLst>
        </xdr:cNvPr>
        <xdr:cNvSpPr>
          <a:spLocks/>
        </xdr:cNvSpPr>
      </xdr:nvSpPr>
      <xdr:spPr bwMode="auto">
        <a:xfrm>
          <a:off x="13575742" y="1347107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27</xdr:row>
      <xdr:rowOff>0</xdr:rowOff>
    </xdr:from>
    <xdr:to>
      <xdr:col>39</xdr:col>
      <xdr:colOff>266700</xdr:colOff>
      <xdr:row>27</xdr:row>
      <xdr:rowOff>114300</xdr:rowOff>
    </xdr:to>
    <xdr:sp macro="" textlink="">
      <xdr:nvSpPr>
        <xdr:cNvPr id="1118" name="Callout: Double Bent Line with Border and Accent Bar 1117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00000000-0008-0000-0100-00005E040000}"/>
            </a:ext>
          </a:extLst>
        </xdr:cNvPr>
        <xdr:cNvSpPr/>
      </xdr:nvSpPr>
      <xdr:spPr>
        <a:xfrm>
          <a:off x="12905852" y="1368041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9525</xdr:colOff>
      <xdr:row>27</xdr:row>
      <xdr:rowOff>9525</xdr:rowOff>
    </xdr:from>
    <xdr:to>
      <xdr:col>40</xdr:col>
      <xdr:colOff>314325</xdr:colOff>
      <xdr:row>27</xdr:row>
      <xdr:rowOff>136525</xdr:rowOff>
    </xdr:to>
    <xdr:sp macro="[1]!CalloutLine1_Click" textlink="">
      <xdr:nvSpPr>
        <xdr:cNvPr id="1119" name="Callout: Line 6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100-00005F040000}"/>
            </a:ext>
          </a:extLst>
        </xdr:cNvPr>
        <xdr:cNvSpPr>
          <a:spLocks/>
        </xdr:cNvSpPr>
      </xdr:nvSpPr>
      <xdr:spPr bwMode="auto">
        <a:xfrm>
          <a:off x="13585267" y="1368993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28</xdr:row>
      <xdr:rowOff>0</xdr:rowOff>
    </xdr:from>
    <xdr:to>
      <xdr:col>39</xdr:col>
      <xdr:colOff>266700</xdr:colOff>
      <xdr:row>28</xdr:row>
      <xdr:rowOff>114300</xdr:rowOff>
    </xdr:to>
    <xdr:sp macro="" textlink="">
      <xdr:nvSpPr>
        <xdr:cNvPr id="1120" name="Callout: Double Bent Line with Border and Accent Bar 1119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100-000060040000}"/>
            </a:ext>
          </a:extLst>
        </xdr:cNvPr>
        <xdr:cNvSpPr/>
      </xdr:nvSpPr>
      <xdr:spPr>
        <a:xfrm>
          <a:off x="12905852" y="138897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40</xdr:col>
      <xdr:colOff>304800</xdr:colOff>
      <xdr:row>28</xdr:row>
      <xdr:rowOff>127000</xdr:rowOff>
    </xdr:to>
    <xdr:sp macro="[1]!CalloutLine1_Click" textlink="">
      <xdr:nvSpPr>
        <xdr:cNvPr id="1121" name="Callout: Line 7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SpPr>
          <a:spLocks/>
        </xdr:cNvSpPr>
      </xdr:nvSpPr>
      <xdr:spPr bwMode="auto">
        <a:xfrm>
          <a:off x="13575742" y="138897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29</xdr:row>
      <xdr:rowOff>0</xdr:rowOff>
    </xdr:from>
    <xdr:to>
      <xdr:col>39</xdr:col>
      <xdr:colOff>266700</xdr:colOff>
      <xdr:row>29</xdr:row>
      <xdr:rowOff>114300</xdr:rowOff>
    </xdr:to>
    <xdr:sp macro="" textlink="">
      <xdr:nvSpPr>
        <xdr:cNvPr id="1122" name="Callout: Double Bent Line with Border and Accent Bar 112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40</xdr:col>
      <xdr:colOff>304800</xdr:colOff>
      <xdr:row>29</xdr:row>
      <xdr:rowOff>127000</xdr:rowOff>
    </xdr:to>
    <xdr:sp macro="[1]!CalloutLine1_Click" textlink="">
      <xdr:nvSpPr>
        <xdr:cNvPr id="1123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63040000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30</xdr:row>
      <xdr:rowOff>0</xdr:rowOff>
    </xdr:from>
    <xdr:to>
      <xdr:col>39</xdr:col>
      <xdr:colOff>266700</xdr:colOff>
      <xdr:row>30</xdr:row>
      <xdr:rowOff>114300</xdr:rowOff>
    </xdr:to>
    <xdr:sp macro="" textlink="">
      <xdr:nvSpPr>
        <xdr:cNvPr id="1124" name="Callout: Double Bent Line with Border and Accent Bar 112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64040000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30</xdr:row>
      <xdr:rowOff>0</xdr:rowOff>
    </xdr:from>
    <xdr:to>
      <xdr:col>40</xdr:col>
      <xdr:colOff>304800</xdr:colOff>
      <xdr:row>30</xdr:row>
      <xdr:rowOff>127000</xdr:rowOff>
    </xdr:to>
    <xdr:sp macro="[1]!CalloutLine1_Click" textlink="">
      <xdr:nvSpPr>
        <xdr:cNvPr id="1125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31</xdr:row>
      <xdr:rowOff>0</xdr:rowOff>
    </xdr:from>
    <xdr:to>
      <xdr:col>39</xdr:col>
      <xdr:colOff>266700</xdr:colOff>
      <xdr:row>31</xdr:row>
      <xdr:rowOff>114300</xdr:rowOff>
    </xdr:to>
    <xdr:sp macro="" textlink="">
      <xdr:nvSpPr>
        <xdr:cNvPr id="1126" name="Callout: Double Bent Line with Border and Accent Bar 112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31</xdr:row>
      <xdr:rowOff>0</xdr:rowOff>
    </xdr:from>
    <xdr:to>
      <xdr:col>40</xdr:col>
      <xdr:colOff>304800</xdr:colOff>
      <xdr:row>31</xdr:row>
      <xdr:rowOff>127000</xdr:rowOff>
    </xdr:to>
    <xdr:sp macro="[1]!CalloutLine1_Click" textlink="">
      <xdr:nvSpPr>
        <xdr:cNvPr id="1127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67040000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32</xdr:row>
      <xdr:rowOff>0</xdr:rowOff>
    </xdr:from>
    <xdr:to>
      <xdr:col>39</xdr:col>
      <xdr:colOff>266700</xdr:colOff>
      <xdr:row>32</xdr:row>
      <xdr:rowOff>114300</xdr:rowOff>
    </xdr:to>
    <xdr:sp macro="" textlink="">
      <xdr:nvSpPr>
        <xdr:cNvPr id="1128" name="Callout: Double Bent Line with Border and Accent Bar 1127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68040000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32</xdr:row>
      <xdr:rowOff>0</xdr:rowOff>
    </xdr:from>
    <xdr:to>
      <xdr:col>40</xdr:col>
      <xdr:colOff>304800</xdr:colOff>
      <xdr:row>32</xdr:row>
      <xdr:rowOff>127000</xdr:rowOff>
    </xdr:to>
    <xdr:sp macro="[1]!CalloutLine1_Click" textlink="">
      <xdr:nvSpPr>
        <xdr:cNvPr id="1129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69040000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33</xdr:row>
      <xdr:rowOff>0</xdr:rowOff>
    </xdr:from>
    <xdr:to>
      <xdr:col>39</xdr:col>
      <xdr:colOff>266700</xdr:colOff>
      <xdr:row>33</xdr:row>
      <xdr:rowOff>114300</xdr:rowOff>
    </xdr:to>
    <xdr:sp macro="" textlink="">
      <xdr:nvSpPr>
        <xdr:cNvPr id="1130" name="Callout: Double Bent Line with Border and Accent Bar 1129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6A040000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33</xdr:row>
      <xdr:rowOff>0</xdr:rowOff>
    </xdr:from>
    <xdr:to>
      <xdr:col>40</xdr:col>
      <xdr:colOff>304800</xdr:colOff>
      <xdr:row>33</xdr:row>
      <xdr:rowOff>127000</xdr:rowOff>
    </xdr:to>
    <xdr:sp macro="[1]!CalloutLine1_Click" textlink="">
      <xdr:nvSpPr>
        <xdr:cNvPr id="1131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6B040000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34</xdr:row>
      <xdr:rowOff>0</xdr:rowOff>
    </xdr:from>
    <xdr:to>
      <xdr:col>39</xdr:col>
      <xdr:colOff>266700</xdr:colOff>
      <xdr:row>34</xdr:row>
      <xdr:rowOff>114300</xdr:rowOff>
    </xdr:to>
    <xdr:sp macro="" textlink="">
      <xdr:nvSpPr>
        <xdr:cNvPr id="1132" name="Callout: Double Bent Line with Border and Accent Bar 1131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6C040000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34</xdr:row>
      <xdr:rowOff>0</xdr:rowOff>
    </xdr:from>
    <xdr:to>
      <xdr:col>40</xdr:col>
      <xdr:colOff>304800</xdr:colOff>
      <xdr:row>34</xdr:row>
      <xdr:rowOff>127000</xdr:rowOff>
    </xdr:to>
    <xdr:sp macro="[1]!CalloutLine1_Click" textlink="">
      <xdr:nvSpPr>
        <xdr:cNvPr id="1133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6D040000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35</xdr:row>
      <xdr:rowOff>0</xdr:rowOff>
    </xdr:from>
    <xdr:to>
      <xdr:col>39</xdr:col>
      <xdr:colOff>266700</xdr:colOff>
      <xdr:row>35</xdr:row>
      <xdr:rowOff>114300</xdr:rowOff>
    </xdr:to>
    <xdr:sp macro="" textlink="">
      <xdr:nvSpPr>
        <xdr:cNvPr id="1134" name="Callout: Double Bent Line with Border and Accent Bar 113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6E040000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35</xdr:row>
      <xdr:rowOff>0</xdr:rowOff>
    </xdr:from>
    <xdr:to>
      <xdr:col>40</xdr:col>
      <xdr:colOff>304800</xdr:colOff>
      <xdr:row>35</xdr:row>
      <xdr:rowOff>127000</xdr:rowOff>
    </xdr:to>
    <xdr:sp macro="[1]!CalloutLine1_Click" textlink="">
      <xdr:nvSpPr>
        <xdr:cNvPr id="1135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36</xdr:row>
      <xdr:rowOff>0</xdr:rowOff>
    </xdr:from>
    <xdr:to>
      <xdr:col>39</xdr:col>
      <xdr:colOff>266700</xdr:colOff>
      <xdr:row>36</xdr:row>
      <xdr:rowOff>114300</xdr:rowOff>
    </xdr:to>
    <xdr:sp macro="" textlink="">
      <xdr:nvSpPr>
        <xdr:cNvPr id="1136" name="Callout: Double Bent Line with Border and Accent Bar 1135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70040000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36</xdr:row>
      <xdr:rowOff>0</xdr:rowOff>
    </xdr:from>
    <xdr:to>
      <xdr:col>40</xdr:col>
      <xdr:colOff>304800</xdr:colOff>
      <xdr:row>36</xdr:row>
      <xdr:rowOff>127000</xdr:rowOff>
    </xdr:to>
    <xdr:sp macro="[1]!CalloutLine1_Click" textlink="">
      <xdr:nvSpPr>
        <xdr:cNvPr id="1137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71040000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37</xdr:row>
      <xdr:rowOff>0</xdr:rowOff>
    </xdr:from>
    <xdr:to>
      <xdr:col>39</xdr:col>
      <xdr:colOff>266700</xdr:colOff>
      <xdr:row>37</xdr:row>
      <xdr:rowOff>114300</xdr:rowOff>
    </xdr:to>
    <xdr:sp macro="" textlink="">
      <xdr:nvSpPr>
        <xdr:cNvPr id="1138" name="Callout: Double Bent Line with Border and Accent Bar 1137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72040000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37</xdr:row>
      <xdr:rowOff>0</xdr:rowOff>
    </xdr:from>
    <xdr:to>
      <xdr:col>40</xdr:col>
      <xdr:colOff>304800</xdr:colOff>
      <xdr:row>37</xdr:row>
      <xdr:rowOff>127000</xdr:rowOff>
    </xdr:to>
    <xdr:sp macro="[1]!CalloutLine1_Click" textlink="">
      <xdr:nvSpPr>
        <xdr:cNvPr id="1139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73040000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38</xdr:row>
      <xdr:rowOff>0</xdr:rowOff>
    </xdr:from>
    <xdr:to>
      <xdr:col>39</xdr:col>
      <xdr:colOff>266700</xdr:colOff>
      <xdr:row>38</xdr:row>
      <xdr:rowOff>114300</xdr:rowOff>
    </xdr:to>
    <xdr:sp macro="" textlink="">
      <xdr:nvSpPr>
        <xdr:cNvPr id="1140" name="Callout: Double Bent Line with Border and Accent Bar 113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74040000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38</xdr:row>
      <xdr:rowOff>0</xdr:rowOff>
    </xdr:from>
    <xdr:to>
      <xdr:col>40</xdr:col>
      <xdr:colOff>304800</xdr:colOff>
      <xdr:row>38</xdr:row>
      <xdr:rowOff>127000</xdr:rowOff>
    </xdr:to>
    <xdr:sp macro="[1]!CalloutLine1_Click" textlink="">
      <xdr:nvSpPr>
        <xdr:cNvPr id="1141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75040000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39</xdr:row>
      <xdr:rowOff>0</xdr:rowOff>
    </xdr:from>
    <xdr:to>
      <xdr:col>39</xdr:col>
      <xdr:colOff>266700</xdr:colOff>
      <xdr:row>39</xdr:row>
      <xdr:rowOff>114300</xdr:rowOff>
    </xdr:to>
    <xdr:sp macro="" textlink="">
      <xdr:nvSpPr>
        <xdr:cNvPr id="1142" name="Callout: Double Bent Line with Border and Accent Bar 114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76040000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39</xdr:row>
      <xdr:rowOff>0</xdr:rowOff>
    </xdr:from>
    <xdr:to>
      <xdr:col>40</xdr:col>
      <xdr:colOff>304800</xdr:colOff>
      <xdr:row>39</xdr:row>
      <xdr:rowOff>127000</xdr:rowOff>
    </xdr:to>
    <xdr:sp macro="[1]!CalloutLine1_Click" textlink="">
      <xdr:nvSpPr>
        <xdr:cNvPr id="1143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77040000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40</xdr:row>
      <xdr:rowOff>0</xdr:rowOff>
    </xdr:from>
    <xdr:to>
      <xdr:col>39</xdr:col>
      <xdr:colOff>266700</xdr:colOff>
      <xdr:row>40</xdr:row>
      <xdr:rowOff>114300</xdr:rowOff>
    </xdr:to>
    <xdr:sp macro="" textlink="">
      <xdr:nvSpPr>
        <xdr:cNvPr id="1144" name="Callout: Double Bent Line with Border and Accent Bar 1143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78040000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40</xdr:row>
      <xdr:rowOff>0</xdr:rowOff>
    </xdr:from>
    <xdr:to>
      <xdr:col>40</xdr:col>
      <xdr:colOff>304800</xdr:colOff>
      <xdr:row>40</xdr:row>
      <xdr:rowOff>127000</xdr:rowOff>
    </xdr:to>
    <xdr:sp macro="[1]!CalloutLine1_Click" textlink="">
      <xdr:nvSpPr>
        <xdr:cNvPr id="1145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79040000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41</xdr:row>
      <xdr:rowOff>0</xdr:rowOff>
    </xdr:from>
    <xdr:to>
      <xdr:col>39</xdr:col>
      <xdr:colOff>266700</xdr:colOff>
      <xdr:row>41</xdr:row>
      <xdr:rowOff>114300</xdr:rowOff>
    </xdr:to>
    <xdr:sp macro="" textlink="">
      <xdr:nvSpPr>
        <xdr:cNvPr id="1146" name="Callout: Double Bent Line with Border and Accent Bar 1145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7A040000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41</xdr:row>
      <xdr:rowOff>0</xdr:rowOff>
    </xdr:from>
    <xdr:to>
      <xdr:col>40</xdr:col>
      <xdr:colOff>304800</xdr:colOff>
      <xdr:row>41</xdr:row>
      <xdr:rowOff>127000</xdr:rowOff>
    </xdr:to>
    <xdr:sp macro="[1]!CalloutLine1_Click" textlink="">
      <xdr:nvSpPr>
        <xdr:cNvPr id="1147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7B040000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42</xdr:row>
      <xdr:rowOff>0</xdr:rowOff>
    </xdr:from>
    <xdr:to>
      <xdr:col>39</xdr:col>
      <xdr:colOff>266700</xdr:colOff>
      <xdr:row>42</xdr:row>
      <xdr:rowOff>114300</xdr:rowOff>
    </xdr:to>
    <xdr:sp macro="" textlink="">
      <xdr:nvSpPr>
        <xdr:cNvPr id="1148" name="Callout: Double Bent Line with Border and Accent Bar 114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7C040000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42</xdr:row>
      <xdr:rowOff>0</xdr:rowOff>
    </xdr:from>
    <xdr:to>
      <xdr:col>40</xdr:col>
      <xdr:colOff>304800</xdr:colOff>
      <xdr:row>42</xdr:row>
      <xdr:rowOff>127000</xdr:rowOff>
    </xdr:to>
    <xdr:sp macro="[1]!CalloutLine1_Click" textlink="">
      <xdr:nvSpPr>
        <xdr:cNvPr id="1149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7D040000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43</xdr:row>
      <xdr:rowOff>0</xdr:rowOff>
    </xdr:from>
    <xdr:to>
      <xdr:col>39</xdr:col>
      <xdr:colOff>266700</xdr:colOff>
      <xdr:row>43</xdr:row>
      <xdr:rowOff>114300</xdr:rowOff>
    </xdr:to>
    <xdr:sp macro="" textlink="">
      <xdr:nvSpPr>
        <xdr:cNvPr id="1150" name="Callout: Double Bent Line with Border and Accent Bar 1149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7E040000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43</xdr:row>
      <xdr:rowOff>0</xdr:rowOff>
    </xdr:from>
    <xdr:to>
      <xdr:col>40</xdr:col>
      <xdr:colOff>304800</xdr:colOff>
      <xdr:row>43</xdr:row>
      <xdr:rowOff>127000</xdr:rowOff>
    </xdr:to>
    <xdr:sp macro="[1]!CalloutLine1_Click" textlink="">
      <xdr:nvSpPr>
        <xdr:cNvPr id="1151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7F040000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44</xdr:row>
      <xdr:rowOff>0</xdr:rowOff>
    </xdr:from>
    <xdr:to>
      <xdr:col>39</xdr:col>
      <xdr:colOff>266700</xdr:colOff>
      <xdr:row>44</xdr:row>
      <xdr:rowOff>114300</xdr:rowOff>
    </xdr:to>
    <xdr:sp macro="" textlink="">
      <xdr:nvSpPr>
        <xdr:cNvPr id="1152" name="Callout: Double Bent Line with Border and Accent Bar 1151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80040000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44</xdr:row>
      <xdr:rowOff>0</xdr:rowOff>
    </xdr:from>
    <xdr:to>
      <xdr:col>40</xdr:col>
      <xdr:colOff>304800</xdr:colOff>
      <xdr:row>44</xdr:row>
      <xdr:rowOff>127000</xdr:rowOff>
    </xdr:to>
    <xdr:sp macro="[1]!CalloutLine1_Click" textlink="">
      <xdr:nvSpPr>
        <xdr:cNvPr id="1153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81040000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154" name="Callout: Double Bent Line with Border and Accent Bar 1153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100-000082040000}"/>
            </a:ext>
          </a:extLst>
        </xdr:cNvPr>
        <xdr:cNvSpPr/>
      </xdr:nvSpPr>
      <xdr:spPr>
        <a:xfrm>
          <a:off x="12905852" y="279469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25400</xdr:rowOff>
    </xdr:from>
    <xdr:to>
      <xdr:col>40</xdr:col>
      <xdr:colOff>304800</xdr:colOff>
      <xdr:row>1</xdr:row>
      <xdr:rowOff>152400</xdr:rowOff>
    </xdr:to>
    <xdr:sp macro="[1]!CalloutLine1_Click" textlink="">
      <xdr:nvSpPr>
        <xdr:cNvPr id="1155" name="Callout: Lin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83040000}"/>
            </a:ext>
          </a:extLst>
        </xdr:cNvPr>
        <xdr:cNvSpPr>
          <a:spLocks/>
        </xdr:cNvSpPr>
      </xdr:nvSpPr>
      <xdr:spPr bwMode="auto">
        <a:xfrm>
          <a:off x="13575742" y="282009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156" name="Callout: Double Bent Line with Border and Accent Bar 1155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84040000}"/>
            </a:ext>
          </a:extLst>
        </xdr:cNvPr>
        <xdr:cNvSpPr/>
      </xdr:nvSpPr>
      <xdr:spPr>
        <a:xfrm>
          <a:off x="12905852" y="572546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157" name="Callout: Line 7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85040000}"/>
            </a:ext>
          </a:extLst>
        </xdr:cNvPr>
        <xdr:cNvSpPr>
          <a:spLocks/>
        </xdr:cNvSpPr>
      </xdr:nvSpPr>
      <xdr:spPr bwMode="auto">
        <a:xfrm>
          <a:off x="13575742" y="572546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158" name="Callout: Double Bent Line with Border and Accent Bar 1157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100-000086040000}"/>
            </a:ext>
          </a:extLst>
        </xdr:cNvPr>
        <xdr:cNvSpPr/>
      </xdr:nvSpPr>
      <xdr:spPr>
        <a:xfrm>
          <a:off x="12905852" y="593480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159" name="Callout: Line 7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87040000}"/>
            </a:ext>
          </a:extLst>
        </xdr:cNvPr>
        <xdr:cNvSpPr>
          <a:spLocks/>
        </xdr:cNvSpPr>
      </xdr:nvSpPr>
      <xdr:spPr bwMode="auto">
        <a:xfrm>
          <a:off x="13575742" y="593480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160" name="Callout: Double Bent Line with Border and Accent Bar 1159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100-000088040000}"/>
            </a:ext>
          </a:extLst>
        </xdr:cNvPr>
        <xdr:cNvSpPr/>
      </xdr:nvSpPr>
      <xdr:spPr>
        <a:xfrm>
          <a:off x="12905852" y="614414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161" name="Callout: Line 7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89040000}"/>
            </a:ext>
          </a:extLst>
        </xdr:cNvPr>
        <xdr:cNvSpPr>
          <a:spLocks/>
        </xdr:cNvSpPr>
      </xdr:nvSpPr>
      <xdr:spPr bwMode="auto">
        <a:xfrm>
          <a:off x="13575742" y="614414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162" name="Callout: Double Bent Line with Border and Accent Bar 1161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8A040000}"/>
            </a:ext>
          </a:extLst>
        </xdr:cNvPr>
        <xdr:cNvSpPr/>
      </xdr:nvSpPr>
      <xdr:spPr>
        <a:xfrm>
          <a:off x="12905852" y="635348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163" name="Callout: Line 7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8B040000}"/>
            </a:ext>
          </a:extLst>
        </xdr:cNvPr>
        <xdr:cNvSpPr>
          <a:spLocks/>
        </xdr:cNvSpPr>
      </xdr:nvSpPr>
      <xdr:spPr bwMode="auto">
        <a:xfrm>
          <a:off x="13575742" y="635348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164" name="Callout: Double Bent Line with Border and Accent Bar 1163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8C040000}"/>
            </a:ext>
          </a:extLst>
        </xdr:cNvPr>
        <xdr:cNvSpPr/>
      </xdr:nvSpPr>
      <xdr:spPr>
        <a:xfrm>
          <a:off x="12905852" y="698151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165" name="Callout: Line 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8D040000}"/>
            </a:ext>
          </a:extLst>
        </xdr:cNvPr>
        <xdr:cNvSpPr>
          <a:spLocks/>
        </xdr:cNvSpPr>
      </xdr:nvSpPr>
      <xdr:spPr bwMode="auto">
        <a:xfrm>
          <a:off x="13575742" y="698151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166" name="Callout: Double Bent Line with Border and Accent Bar 1165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100-00008E040000}"/>
            </a:ext>
          </a:extLst>
        </xdr:cNvPr>
        <xdr:cNvSpPr/>
      </xdr:nvSpPr>
      <xdr:spPr>
        <a:xfrm>
          <a:off x="12905852" y="719085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167" name="Callout: Line 4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8F040000}"/>
            </a:ext>
          </a:extLst>
        </xdr:cNvPr>
        <xdr:cNvSpPr>
          <a:spLocks/>
        </xdr:cNvSpPr>
      </xdr:nvSpPr>
      <xdr:spPr bwMode="auto">
        <a:xfrm>
          <a:off x="13575742" y="719085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168" name="Callout: Double Bent Line with Border and Accent Bar 116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169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170" name="Callout: Double Bent Line with Border and Accent Bar 116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92040000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171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172" name="Callout: Double Bent Line with Border and Accent Bar 1171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173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174" name="Callout: Double Bent Line with Border and Accent Bar 117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175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97040000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176" name="Callout: Double Bent Line with Border and Accent Bar 1175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98040000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177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99040000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178" name="Callout: Double Bent Line with Border and Accent Bar 1177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9A040000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179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9B040000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180" name="Callout: Double Bent Line with Border and Accent Bar 117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9C040000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181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9D040000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182" name="Callout: Double Bent Line with Border and Accent Bar 1181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9E040000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183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9F040000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184" name="Callout: Double Bent Line with Border and Accent Bar 1183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A0040000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185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A1040000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186" name="Callout: Double Bent Line with Border and Accent Bar 1185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A2040000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187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A3040000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188" name="Callout: Double Bent Line with Border and Accent Bar 1187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A4040000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189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A5040000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190" name="Callout: Double Bent Line with Border and Accent Bar 1189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A6040000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191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A7040000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192" name="Callout: Double Bent Line with Border and Accent Bar 1191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A8040000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193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A9040000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194" name="Callout: Double Bent Line with Border and Accent Bar 1193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AA040000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195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AB040000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196" name="Callout: Double Bent Line with Border and Accent Bar 119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AC040000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197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AD040000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198" name="Callout: Double Bent Line with Border and Accent Bar 1197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AE040000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199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AF040000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200" name="Callout: Double Bent Line with Border and Accent Bar 119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B0040000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201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B1040000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202" name="Callout: Double Bent Line with Border and Accent Bar 1201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B2040000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203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B3040000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204" name="Callout: Double Bent Line with Border and Accent Bar 1203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B404000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205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B5040000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206" name="Callout: Double Bent Line with Border and Accent Bar 1205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B6040000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207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B7040000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208" name="Callout: Double Bent Line with Border and Accent Bar 1207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B8040000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209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B9040000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210" name="Callout: Double Bent Line with Border and Accent Bar 1209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100-0000BA040000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211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BB040000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212" name="Callout: Double Bent Line with Border and Accent Bar 1211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100-0000BC040000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213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BD040000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214" name="Callout: Double Bent Line with Border and Accent Bar 1213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BE040000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215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BF040000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216" name="Callout: Double Bent Line with Border and Accent Bar 1215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100-0000C0040000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217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C1040000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218" name="Callout: Double Bent Line with Border and Accent Bar 121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100-0000C2040000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219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C3040000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220" name="Callout: Double Bent Line with Border and Accent Bar 1219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C4040000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221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C5040000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222" name="Callout: Double Bent Line with Border and Accent Bar 1221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100-0000C6040000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223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C7040000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224" name="Callout: Double Bent Line with Border and Accent Bar 1223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100-0000C8040000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225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C9040000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226" name="Callout: Double Bent Line with Border and Accent Bar 1225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CA040000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227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CB040000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228" name="Callout: Double Bent Line with Border and Accent Bar 1227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100-0000CC040000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229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CD040000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230" name="Callout: Double Bent Line with Border and Accent Bar 122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100-0000CE040000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231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CF040000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232" name="Callout: Double Bent Line with Border and Accent Bar 123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C29018F0-F7AA-4957-A7D3-65C9D882E592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233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B42C1E33-9E5C-49E8-A529-73B971793F37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234" name="Callout: Double Bent Line with Border and Accent Bar 123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3566CFDB-1369-42AB-8348-72397B8483BF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235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D74B8BD-C7BC-422D-913B-E5B980576B0E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236" name="Callout: Double Bent Line with Border and Accent Bar 123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4C5DBC7-37FD-4053-A82A-C6ACD62AA50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237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435E025-A86C-44AE-B172-CE66F0FAD2A0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238" name="Callout: Double Bent Line with Border and Accent Bar 1237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5B9B9A2-6A6E-4C60-A99B-F147E1A43477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239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0D6544A-40C6-4833-891A-6F9BD840B951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240" name="Callout: Double Bent Line with Border and Accent Bar 1239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87804BDC-04DF-4472-AE55-350AA19A1E27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241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0E80C8A-A772-41FF-BF91-31D045994922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242" name="Callout: Double Bent Line with Border and Accent Bar 1241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95080CD7-35C2-4C71-8624-F09C44EBA7C5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243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9012CCF5-BEA1-42B7-A429-EDA7E03D55C4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244" name="Callout: Double Bent Line with Border and Accent Bar 124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B043E59F-FBE1-4B56-9CDC-FD3A94D625FB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245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FC1E230-B3CF-4D54-848E-3A92463E3128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246" name="Callout: Double Bent Line with Border and Accent Bar 1245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54635350-6BA9-4591-81DF-EC269006DDEF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247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C23B8D0-1149-4F1A-AD13-B32294F0FE1B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248" name="Callout: Double Bent Line with Border and Accent Bar 1247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182457B-EFCE-484D-9E6E-30F79D4C3FC4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249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5E3658-7964-4878-AA98-6F9AA6D9C1D4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250" name="Callout: Double Bent Line with Border and Accent Bar 124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AB1CA9D9-BED4-4664-BE42-323689D89FFA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251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3A83209-9722-4445-AA78-52E3DAE3E742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252" name="Callout: Double Bent Line with Border and Accent Bar 125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4D689672-8CA5-4B2A-A12E-63C87C5CBD2E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253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A0B9CB16-E30D-4DAE-81A6-7FAF71BE5D9C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254" name="Callout: Double Bent Line with Border and Accent Bar 1253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B07DFF23-5A1F-4872-B06C-7231163AC5C3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255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BBF3010B-C6C3-4EBF-B652-8ABB6956F8B2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256" name="Callout: Double Bent Line with Border and Accent Bar 1255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5C7DB26F-E7BC-486E-A966-61E19DF7F158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257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8092C6D5-671D-4421-8B6E-BA16E438B9F7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258" name="Callout: Double Bent Line with Border and Accent Bar 125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D37A8C61-82FB-436F-A83C-C5A9FAB710D5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259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FAA347FD-69AD-4DA0-92B4-5751FB8608CB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260" name="Callout: Double Bent Line with Border and Accent Bar 1259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C143D262-1D63-4DAA-9FAB-0CD26980A948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261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6D5914DC-5537-4CC2-AF55-F64CE1FF62A1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262" name="Callout: Double Bent Line with Border and Accent Bar 1261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4F3650ED-25E8-423F-9053-6F9110FD889C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263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F118CE4-1D83-4CD6-88A5-F2D4D15B456D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264" name="Callout: Double Bent Line with Border and Accent Bar 1263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83F340-51E2-48A8-BC32-3A84D8C36ADD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265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AED2C64E-F86F-40FE-8B6C-41DF13900DE2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266" name="Callout: Double Bent Line with Border and Accent Bar 1265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E0B64830-27F8-4E1F-8816-D0D1D8D3A438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267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A379FCF-E60C-49F9-AB5B-F7109BA59B45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268" name="Callout: Double Bent Line with Border and Accent Bar 1267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8B40F1C5-6C12-47AA-844B-6300FCBB5ACA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269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67324FC-F979-49A8-B52A-1B0E39A42FC8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270" name="Callout: Double Bent Line with Border and Accent Bar 1269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91EDDBD-A0AB-424D-88EC-572FB396745C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271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BE69722A-F59E-4297-9E55-B4860B55CE9C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272" name="Callout: Double Bent Line with Border and Accent Bar 1271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46278419-5B8B-45CA-B6FC-2DCFDE1ACFE6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273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943D4FBD-1C98-4DFA-9A9B-A88E85EACC79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274" name="Callout: Double Bent Line with Border and Accent Bar 1273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7F240624-A901-4BEC-83A1-0E04D1932B1A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275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46F7762-D785-4E55-B7C4-A2E7558006DE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276" name="Callout: Double Bent Line with Border and Accent Bar 1275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160D6B20-5FD8-4B20-8588-073AA30DD5E7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277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9E647C0-24D2-40CD-A8E5-A8007F0413EE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278" name="Callout: Double Bent Line with Border and Accent Bar 1277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52F50719-975D-4425-BC94-E4B53AFD1451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279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15DB3EED-673B-4267-A21A-722E40A715D7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280" name="Callout: Double Bent Line with Border and Accent Bar 1279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CD8C2B6-82D5-49DE-8580-AFD13341C240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281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580DAB-7D5C-458C-8C57-0B1CD133C138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282" name="Callout: Double Bent Line with Border and Accent Bar 1281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553AD95-7981-4E19-ADD4-3F4273F0CFC6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283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8509531B-CBBC-48A1-B2E7-B3CEBA137F11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284" name="Callout: Double Bent Line with Border and Accent Bar 1283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DE230A84-E008-4189-A48D-1E651B63BACE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285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6B32091F-E598-4CFF-98BE-4A45D989FC95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286" name="Callout: Double Bent Line with Border and Accent Bar 1285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3700BC95-1BFC-44D9-B7F6-245DC5AA2034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287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B559221A-88DD-41D7-821C-A91BA9E43B30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288" name="Callout: Double Bent Line with Border and Accent Bar 1287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5A6A4B22-E1D5-4DB8-96EA-E1BD7C176CDB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289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92B1ADBD-EEC1-4F19-943D-D60FF5CA3942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290" name="Callout: Double Bent Line with Border and Accent Bar 1289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DB475CD9-C11C-43D4-9861-77D90A2BB1D0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291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48C8EDCD-F203-4BE4-88D4-E1B62D2F9FFF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292" name="Callout: Double Bent Line with Border and Accent Bar 1291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226E161D-5F9F-46EF-92BD-A6C0DC09D5D0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293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308A939-5966-4BFE-AC56-A1663EE0E3C8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294" name="Callout: Double Bent Line with Border and Accent Bar 1293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1101B2E-91F0-45B1-8DD9-A383F81D6816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295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9CDF98FA-A250-4C2A-BA4C-DAC4E8CC7323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296" name="Callout: Double Bent Line with Border and Accent Bar 1295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5F6EC6B1-A491-4FB3-AB3B-9D7C1D1B5216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297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E5F13388-543B-45BF-A780-B78A06359653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298" name="Callout: Double Bent Line with Border and Accent Bar 1297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B0B9A1B6-93B2-4B14-AA8D-04367494C974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299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D594BAAB-2EF0-4410-B5CD-400F2F63E0AB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300" name="Callout: Double Bent Line with Border and Accent Bar 1299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3520724E-5ED3-4F6D-97EE-E3C1ED4CC450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301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21121DAD-C463-44E1-BD26-898FD4332E11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302" name="Callout: Double Bent Line with Border and Accent Bar 130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EEA6E85-2758-48E3-A068-C33A04E251AF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303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C7B703-E4F4-4D18-BC65-27E799A92A3D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304" name="Callout: Double Bent Line with Border and Accent Bar 1303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E41C0CEA-2989-43A4-A744-1371BD873BF0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305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DFBF8D33-15C5-4718-9571-F1D5D59BFDA8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306" name="Callout: Double Bent Line with Border and Accent Bar 1305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50B5FCA1-F039-4FD2-87F2-32FBA08E5FAF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307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A35BF9B-F7E2-47F2-9CB2-060EF92C8DB0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308" name="Callout: Double Bent Line with Border and Accent Bar 130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36D501F-2D27-4E8C-BEA9-1040AA86A55D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309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92C4584-7DD7-4614-AF16-2E738B4AA88E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310" name="Callout: Double Bent Line with Border and Accent Bar 1309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BB5AA4C9-5DC1-4507-AED7-71A76E237483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311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FD9E6C-DE58-4655-A117-4B8DEB13BE89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312" name="Callout: Double Bent Line with Border and Accent Bar 131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F7BE64B2-C748-479D-B9CE-D71BFC8BF711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313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47328B-2673-41A1-987E-525A92FE4CFD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314" name="Callout: Double Bent Line with Border and Accent Bar 1313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D0D951C-3557-46FE-BCA3-6D47FBD78879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315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4E88B04-B878-415B-B961-7375417AB7AE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316" name="Callout: Double Bent Line with Border and Accent Bar 1315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EC850CA6-43D8-4B22-A02E-06F2137EABD4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317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60D180D-51A2-4F79-8CB6-7D9C83DB6CE5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318" name="Callout: Double Bent Line with Border and Accent Bar 1317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19A4303C-6E0F-4163-89AD-406D6DF662EA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319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485E93F5-70B1-4B6A-A0E4-F2A72E2D7129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320" name="Callout: Double Bent Line with Border and Accent Bar 1319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4C5353A0-FA1B-4960-BB62-33E15C9C62FC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321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6A306E5-51B6-4706-9D68-76F542AAF5F6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322" name="Callout: Double Bent Line with Border and Accent Bar 1321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84F6E0F5-6808-4574-B15D-3780CF6E1534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323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750C3ADC-69E9-40C0-9797-B2771ED604C5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324" name="Callout: Double Bent Line with Border and Accent Bar 1323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97AA984F-6D59-48C6-98F2-5858DF48D5DD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325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29D43D7A-DFD9-4D72-9B4E-330A08875058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326" name="Callout: Double Bent Line with Border and Accent Bar 1325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DCDCA1B0-D088-4783-9714-906EBF56CFAC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327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E64D2A21-B36C-4352-B695-CEF0DD8B8157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328" name="Callout: Double Bent Line with Border and Accent Bar 132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F2D6DB6A-DB35-48F2-A6D3-2A1E742DCB3D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329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732BD69D-59DD-4210-A120-68856F14F3C4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330" name="Callout: Double Bent Line with Border and Accent Bar 132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9CB3F35A-326A-4E57-8451-5EFEFE3CFAFF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331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D610BEB-9D5A-48ED-86BB-7F830384ABAD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332" name="Callout: Double Bent Line with Border and Accent Bar 1331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D13D8270-41BC-405F-83FF-B1D8B8CCA173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333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B257DE2-6264-4DF7-911F-8D830457FE0E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334" name="Callout: Double Bent Line with Border and Accent Bar 133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1117F39-6D75-47EB-9E22-84C337C90902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335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1CAB032C-9214-4BAE-A657-69F5FEB2CA8C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336" name="Callout: Double Bent Line with Border and Accent Bar 1335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462253CF-0A79-416C-A01A-041A6E023525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337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86FDCA53-F4FB-43C2-B902-BDDCCB13E37A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338" name="Callout: Double Bent Line with Border and Accent Bar 1337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8151721D-3B2F-447E-8906-FF7CBC9E03DE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339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4B3B36A8-FDAE-4992-9065-355B88DEA589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340" name="Callout: Double Bent Line with Border and Accent Bar 133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AC0F6778-A767-49B0-BCC7-7F08ECB56BB1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341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F6757914-3175-4748-9B3B-18114BE6697A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342" name="Callout: Double Bent Line with Border and Accent Bar 1341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F152A43-0651-4537-8133-97DF360B4801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343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B8AE2784-2321-49FC-95DC-E527F18FDDE8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344" name="Callout: Double Bent Line with Border and Accent Bar 1343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3ED958E3-F62B-4509-996D-22FF54670849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345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52D3A2-B74D-4EE3-BA07-1E23B6C50A95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346" name="Callout: Double Bent Line with Border and Accent Bar 1345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3F7C7140-94BE-45B2-AB3F-89520EFE028E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347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E1FD25B-4170-4EAF-8F07-998AAE6FA86E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348" name="Callout: Double Bent Line with Border and Accent Bar 1347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D99693FE-334B-42FC-B033-0BFE634B8D1F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349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7FA8E93-FD07-4202-BC20-A6077E43EA90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350" name="Callout: Double Bent Line with Border and Accent Bar 1349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25D345EE-FD3D-474C-8078-2E80F24D25DD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351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B7163BD3-191E-42C4-94D6-8F7851B57FE4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352" name="Callout: Double Bent Line with Border and Accent Bar 1351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FF783B6F-639F-411C-8959-35E673B1CDD7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353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81704F75-8212-44DF-A5A0-537C691AA124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354" name="Callout: Double Bent Line with Border and Accent Bar 1353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4BD79169-0921-4DB8-BEA7-2BC7C43E5C42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355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B63473E-21B2-4A5D-B7F2-36FF7FCEB3F4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356" name="Callout: Double Bent Line with Border and Accent Bar 135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9E506AEE-90CC-41E9-B1A1-B55CE0EBCB2D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357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E8AD1D2C-4CEC-4ADF-B521-989F6B54A2F2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358" name="Callout: Double Bent Line with Border and Accent Bar 1357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4EBA921C-4A9A-4BAE-BE94-FDA4D74A00F6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359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692DEFF-B3F0-48AF-B171-74F21905961B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</xdr:row>
      <xdr:rowOff>0</xdr:rowOff>
    </xdr:from>
    <xdr:to>
      <xdr:col>39</xdr:col>
      <xdr:colOff>266700</xdr:colOff>
      <xdr:row>1</xdr:row>
      <xdr:rowOff>114300</xdr:rowOff>
    </xdr:to>
    <xdr:sp macro="" textlink="">
      <xdr:nvSpPr>
        <xdr:cNvPr id="1360" name="Callout: Double Bent Line with Border and Accent Bar 135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DABD9811-AE0E-447D-9C59-B08E2B961E24}"/>
            </a:ext>
          </a:extLst>
        </xdr:cNvPr>
        <xdr:cNvSpPr/>
      </xdr:nvSpPr>
      <xdr:spPr>
        <a:xfrm>
          <a:off x="12905852" y="1682052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</xdr:row>
      <xdr:rowOff>0</xdr:rowOff>
    </xdr:from>
    <xdr:to>
      <xdr:col>40</xdr:col>
      <xdr:colOff>304800</xdr:colOff>
      <xdr:row>1</xdr:row>
      <xdr:rowOff>127000</xdr:rowOff>
    </xdr:to>
    <xdr:sp macro="[1]!CalloutLine1_Click" textlink="">
      <xdr:nvSpPr>
        <xdr:cNvPr id="1361" name="Callout: Line 43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257138E-768A-4AC9-ADB8-758BBE9E802A}"/>
            </a:ext>
          </a:extLst>
        </xdr:cNvPr>
        <xdr:cNvSpPr>
          <a:spLocks/>
        </xdr:cNvSpPr>
      </xdr:nvSpPr>
      <xdr:spPr bwMode="auto">
        <a:xfrm>
          <a:off x="13575742" y="1682052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39</xdr:col>
      <xdr:colOff>266700</xdr:colOff>
      <xdr:row>2</xdr:row>
      <xdr:rowOff>114300</xdr:rowOff>
    </xdr:to>
    <xdr:sp macro="" textlink="">
      <xdr:nvSpPr>
        <xdr:cNvPr id="1362" name="Callout: Double Bent Line with Border and Accent Bar 1361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889D07DF-8DE2-481D-8C2C-08B3923B9B18}"/>
            </a:ext>
          </a:extLst>
        </xdr:cNvPr>
        <xdr:cNvSpPr/>
      </xdr:nvSpPr>
      <xdr:spPr>
        <a:xfrm>
          <a:off x="12905852" y="1702986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40</xdr:col>
      <xdr:colOff>304800</xdr:colOff>
      <xdr:row>2</xdr:row>
      <xdr:rowOff>127000</xdr:rowOff>
    </xdr:to>
    <xdr:sp macro="[1]!CalloutLine1_Click" textlink="">
      <xdr:nvSpPr>
        <xdr:cNvPr id="1363" name="Callout: Line 5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F607C5E1-9AA7-4976-B024-B0A73710B7CF}"/>
            </a:ext>
          </a:extLst>
        </xdr:cNvPr>
        <xdr:cNvSpPr>
          <a:spLocks/>
        </xdr:cNvSpPr>
      </xdr:nvSpPr>
      <xdr:spPr bwMode="auto">
        <a:xfrm>
          <a:off x="13575742" y="1702986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39</xdr:col>
      <xdr:colOff>266700</xdr:colOff>
      <xdr:row>3</xdr:row>
      <xdr:rowOff>114300</xdr:rowOff>
    </xdr:to>
    <xdr:sp macro="" textlink="">
      <xdr:nvSpPr>
        <xdr:cNvPr id="1364" name="Callout: Double Bent Line with Border and Accent Bar 1363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D418AE5-CF26-4FB6-8C83-9E388EB0703E}"/>
            </a:ext>
          </a:extLst>
        </xdr:cNvPr>
        <xdr:cNvSpPr/>
      </xdr:nvSpPr>
      <xdr:spPr>
        <a:xfrm>
          <a:off x="12905852" y="1723920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304800</xdr:colOff>
      <xdr:row>3</xdr:row>
      <xdr:rowOff>127000</xdr:rowOff>
    </xdr:to>
    <xdr:sp macro="[1]!CalloutLine1_Click" textlink="">
      <xdr:nvSpPr>
        <xdr:cNvPr id="1365" name="Callout: Line 5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AC7CA15-3421-40F5-8932-6D1777180DEC}"/>
            </a:ext>
          </a:extLst>
        </xdr:cNvPr>
        <xdr:cNvSpPr>
          <a:spLocks/>
        </xdr:cNvSpPr>
      </xdr:nvSpPr>
      <xdr:spPr bwMode="auto">
        <a:xfrm>
          <a:off x="13575742" y="1723920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39</xdr:col>
      <xdr:colOff>266700</xdr:colOff>
      <xdr:row>4</xdr:row>
      <xdr:rowOff>114300</xdr:rowOff>
    </xdr:to>
    <xdr:sp macro="" textlink="">
      <xdr:nvSpPr>
        <xdr:cNvPr id="1366" name="Callout: Double Bent Line with Border and Accent Bar 1365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366D8DAD-8ECE-4A67-85ED-CD90A483F676}"/>
            </a:ext>
          </a:extLst>
        </xdr:cNvPr>
        <xdr:cNvSpPr/>
      </xdr:nvSpPr>
      <xdr:spPr>
        <a:xfrm>
          <a:off x="12905852" y="1744854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40</xdr:col>
      <xdr:colOff>304800</xdr:colOff>
      <xdr:row>4</xdr:row>
      <xdr:rowOff>127000</xdr:rowOff>
    </xdr:to>
    <xdr:sp macro="[1]!CalloutLine1_Click" textlink="">
      <xdr:nvSpPr>
        <xdr:cNvPr id="1367" name="Callout: Line 5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1D430D2E-B32C-4012-BC7F-4ECC8A742887}"/>
            </a:ext>
          </a:extLst>
        </xdr:cNvPr>
        <xdr:cNvSpPr>
          <a:spLocks/>
        </xdr:cNvSpPr>
      </xdr:nvSpPr>
      <xdr:spPr bwMode="auto">
        <a:xfrm>
          <a:off x="13575742" y="1744854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5</xdr:row>
      <xdr:rowOff>0</xdr:rowOff>
    </xdr:from>
    <xdr:to>
      <xdr:col>39</xdr:col>
      <xdr:colOff>266700</xdr:colOff>
      <xdr:row>5</xdr:row>
      <xdr:rowOff>114300</xdr:rowOff>
    </xdr:to>
    <xdr:sp macro="" textlink="">
      <xdr:nvSpPr>
        <xdr:cNvPr id="1368" name="Callout: Double Bent Line with Border and Accent Bar 1367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6D1FC730-9BF5-44A9-AF4E-13A56558244A}"/>
            </a:ext>
          </a:extLst>
        </xdr:cNvPr>
        <xdr:cNvSpPr/>
      </xdr:nvSpPr>
      <xdr:spPr>
        <a:xfrm>
          <a:off x="12905852" y="1765788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40</xdr:col>
      <xdr:colOff>304800</xdr:colOff>
      <xdr:row>5</xdr:row>
      <xdr:rowOff>127000</xdr:rowOff>
    </xdr:to>
    <xdr:sp macro="[1]!CalloutLine1_Click" textlink="">
      <xdr:nvSpPr>
        <xdr:cNvPr id="1369" name="Callout: Line 5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A4325C01-50A1-45CC-83B5-F740AC0DB7A5}"/>
            </a:ext>
          </a:extLst>
        </xdr:cNvPr>
        <xdr:cNvSpPr>
          <a:spLocks/>
        </xdr:cNvSpPr>
      </xdr:nvSpPr>
      <xdr:spPr bwMode="auto">
        <a:xfrm>
          <a:off x="13575742" y="1765788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6</xdr:row>
      <xdr:rowOff>0</xdr:rowOff>
    </xdr:from>
    <xdr:to>
      <xdr:col>39</xdr:col>
      <xdr:colOff>266700</xdr:colOff>
      <xdr:row>6</xdr:row>
      <xdr:rowOff>114300</xdr:rowOff>
    </xdr:to>
    <xdr:sp macro="" textlink="">
      <xdr:nvSpPr>
        <xdr:cNvPr id="1370" name="Callout: Double Bent Line with Border and Accent Bar 1369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A882763B-1DD2-4E16-BC64-48DB260EA37B}"/>
            </a:ext>
          </a:extLst>
        </xdr:cNvPr>
        <xdr:cNvSpPr/>
      </xdr:nvSpPr>
      <xdr:spPr>
        <a:xfrm>
          <a:off x="12905852" y="1786722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304800</xdr:colOff>
      <xdr:row>6</xdr:row>
      <xdr:rowOff>127000</xdr:rowOff>
    </xdr:to>
    <xdr:sp macro="[1]!CalloutLine1_Click" textlink="">
      <xdr:nvSpPr>
        <xdr:cNvPr id="1371" name="Callout: Line 5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CBDD881-D1CA-44CF-B44D-CB688D8599F6}"/>
            </a:ext>
          </a:extLst>
        </xdr:cNvPr>
        <xdr:cNvSpPr>
          <a:spLocks/>
        </xdr:cNvSpPr>
      </xdr:nvSpPr>
      <xdr:spPr bwMode="auto">
        <a:xfrm>
          <a:off x="13575742" y="1786722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7</xdr:row>
      <xdr:rowOff>0</xdr:rowOff>
    </xdr:from>
    <xdr:to>
      <xdr:col>39</xdr:col>
      <xdr:colOff>266700</xdr:colOff>
      <xdr:row>7</xdr:row>
      <xdr:rowOff>114300</xdr:rowOff>
    </xdr:to>
    <xdr:sp macro="" textlink="">
      <xdr:nvSpPr>
        <xdr:cNvPr id="1372" name="Callout: Double Bent Line with Border and Accent Bar 1371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B17670-3F96-41E0-B3FB-5A196C967F0E}"/>
            </a:ext>
          </a:extLst>
        </xdr:cNvPr>
        <xdr:cNvSpPr/>
      </xdr:nvSpPr>
      <xdr:spPr>
        <a:xfrm>
          <a:off x="12905852" y="1807656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7</xdr:row>
      <xdr:rowOff>0</xdr:rowOff>
    </xdr:from>
    <xdr:to>
      <xdr:col>40</xdr:col>
      <xdr:colOff>304800</xdr:colOff>
      <xdr:row>7</xdr:row>
      <xdr:rowOff>127000</xdr:rowOff>
    </xdr:to>
    <xdr:sp macro="[1]!CalloutLine1_Click" textlink="">
      <xdr:nvSpPr>
        <xdr:cNvPr id="1373" name="Callout: Line 5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7C61F1B-E010-4832-B026-B9461EE877AE}"/>
            </a:ext>
          </a:extLst>
        </xdr:cNvPr>
        <xdr:cNvSpPr>
          <a:spLocks/>
        </xdr:cNvSpPr>
      </xdr:nvSpPr>
      <xdr:spPr bwMode="auto">
        <a:xfrm>
          <a:off x="13575742" y="1807656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39</xdr:col>
      <xdr:colOff>266700</xdr:colOff>
      <xdr:row>8</xdr:row>
      <xdr:rowOff>114300</xdr:rowOff>
    </xdr:to>
    <xdr:sp macro="" textlink="">
      <xdr:nvSpPr>
        <xdr:cNvPr id="1374" name="Callout: Double Bent Line with Border and Accent Bar 1373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E6D5E881-4B2E-48F9-9CEB-CF233078682E}"/>
            </a:ext>
          </a:extLst>
        </xdr:cNvPr>
        <xdr:cNvSpPr/>
      </xdr:nvSpPr>
      <xdr:spPr>
        <a:xfrm>
          <a:off x="12905852" y="1828590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8</xdr:row>
      <xdr:rowOff>0</xdr:rowOff>
    </xdr:from>
    <xdr:to>
      <xdr:col>40</xdr:col>
      <xdr:colOff>304800</xdr:colOff>
      <xdr:row>8</xdr:row>
      <xdr:rowOff>127000</xdr:rowOff>
    </xdr:to>
    <xdr:sp macro="[1]!CalloutLine1_Click" textlink="">
      <xdr:nvSpPr>
        <xdr:cNvPr id="1375" name="Callout: Line 5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C71A44D9-051D-4709-936C-A1B569211892}"/>
            </a:ext>
          </a:extLst>
        </xdr:cNvPr>
        <xdr:cNvSpPr>
          <a:spLocks/>
        </xdr:cNvSpPr>
      </xdr:nvSpPr>
      <xdr:spPr bwMode="auto">
        <a:xfrm>
          <a:off x="13575742" y="1828590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266700</xdr:colOff>
      <xdr:row>9</xdr:row>
      <xdr:rowOff>114300</xdr:rowOff>
    </xdr:to>
    <xdr:sp macro="" textlink="">
      <xdr:nvSpPr>
        <xdr:cNvPr id="1376" name="Callout: Double Bent Line with Border and Accent Bar 1375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39712121-727C-4129-9FD0-00BF025EA068}"/>
            </a:ext>
          </a:extLst>
        </xdr:cNvPr>
        <xdr:cNvSpPr/>
      </xdr:nvSpPr>
      <xdr:spPr>
        <a:xfrm>
          <a:off x="12905852" y="18495247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304800</xdr:colOff>
      <xdr:row>9</xdr:row>
      <xdr:rowOff>127000</xdr:rowOff>
    </xdr:to>
    <xdr:sp macro="[1]!CalloutLine1_Click" textlink="">
      <xdr:nvSpPr>
        <xdr:cNvPr id="1377" name="Callout: Line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20A748-CE06-4E56-9DFA-4306ADF20558}"/>
            </a:ext>
          </a:extLst>
        </xdr:cNvPr>
        <xdr:cNvSpPr>
          <a:spLocks/>
        </xdr:cNvSpPr>
      </xdr:nvSpPr>
      <xdr:spPr bwMode="auto">
        <a:xfrm>
          <a:off x="13575742" y="18495247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39</xdr:col>
      <xdr:colOff>266700</xdr:colOff>
      <xdr:row>10</xdr:row>
      <xdr:rowOff>114300</xdr:rowOff>
    </xdr:to>
    <xdr:sp macro="" textlink="">
      <xdr:nvSpPr>
        <xdr:cNvPr id="1378" name="Callout: Double Bent Line with Border and Accent Bar 137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2AA48F0E-A5CE-4BDA-A09F-68D858AD814D}"/>
            </a:ext>
          </a:extLst>
        </xdr:cNvPr>
        <xdr:cNvSpPr/>
      </xdr:nvSpPr>
      <xdr:spPr>
        <a:xfrm>
          <a:off x="12905852" y="18704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304800</xdr:colOff>
      <xdr:row>10</xdr:row>
      <xdr:rowOff>127000</xdr:rowOff>
    </xdr:to>
    <xdr:sp macro="[1]!CalloutLine1_Click" textlink="">
      <xdr:nvSpPr>
        <xdr:cNvPr id="1379" name="Callout: Line 6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3667A1E-8836-4238-A953-172A3613AC00}"/>
            </a:ext>
          </a:extLst>
        </xdr:cNvPr>
        <xdr:cNvSpPr>
          <a:spLocks/>
        </xdr:cNvSpPr>
      </xdr:nvSpPr>
      <xdr:spPr bwMode="auto">
        <a:xfrm>
          <a:off x="13575742" y="18704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39</xdr:col>
      <xdr:colOff>266700</xdr:colOff>
      <xdr:row>11</xdr:row>
      <xdr:rowOff>114300</xdr:rowOff>
    </xdr:to>
    <xdr:sp macro="" textlink="">
      <xdr:nvSpPr>
        <xdr:cNvPr id="1380" name="Callout: Double Bent Line with Border and Accent Bar 1379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2D5E000A-2E75-4D23-B767-78DD2E2D0B1E}"/>
            </a:ext>
          </a:extLst>
        </xdr:cNvPr>
        <xdr:cNvSpPr/>
      </xdr:nvSpPr>
      <xdr:spPr>
        <a:xfrm>
          <a:off x="12905852" y="189139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40</xdr:col>
      <xdr:colOff>304800</xdr:colOff>
      <xdr:row>11</xdr:row>
      <xdr:rowOff>127000</xdr:rowOff>
    </xdr:to>
    <xdr:sp macro="[1]!CalloutLine1_Click" textlink="">
      <xdr:nvSpPr>
        <xdr:cNvPr id="1381" name="Callout: Line 6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DFCB15BF-90DB-44ED-9F03-4E9B03498449}"/>
            </a:ext>
          </a:extLst>
        </xdr:cNvPr>
        <xdr:cNvSpPr>
          <a:spLocks/>
        </xdr:cNvSpPr>
      </xdr:nvSpPr>
      <xdr:spPr bwMode="auto">
        <a:xfrm>
          <a:off x="13575742" y="189139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39</xdr:col>
      <xdr:colOff>266700</xdr:colOff>
      <xdr:row>12</xdr:row>
      <xdr:rowOff>114300</xdr:rowOff>
    </xdr:to>
    <xdr:sp macro="" textlink="">
      <xdr:nvSpPr>
        <xdr:cNvPr id="1382" name="Callout: Double Bent Line with Border and Accent Bar 1381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A0FA06E7-E9F1-4BF9-854B-B5B18959DD86}"/>
            </a:ext>
          </a:extLst>
        </xdr:cNvPr>
        <xdr:cNvSpPr/>
      </xdr:nvSpPr>
      <xdr:spPr>
        <a:xfrm>
          <a:off x="12905852" y="1912326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40</xdr:col>
      <xdr:colOff>304800</xdr:colOff>
      <xdr:row>12</xdr:row>
      <xdr:rowOff>127000</xdr:rowOff>
    </xdr:to>
    <xdr:sp macro="[1]!CalloutLine1_Click" textlink="">
      <xdr:nvSpPr>
        <xdr:cNvPr id="1383" name="Callout: Line 6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4B092E16-6D59-4667-AAAB-5FDDECAF0B0C}"/>
            </a:ext>
          </a:extLst>
        </xdr:cNvPr>
        <xdr:cNvSpPr>
          <a:spLocks/>
        </xdr:cNvSpPr>
      </xdr:nvSpPr>
      <xdr:spPr bwMode="auto">
        <a:xfrm>
          <a:off x="13575742" y="1912326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39</xdr:col>
      <xdr:colOff>266700</xdr:colOff>
      <xdr:row>13</xdr:row>
      <xdr:rowOff>114300</xdr:rowOff>
    </xdr:to>
    <xdr:sp macro="" textlink="">
      <xdr:nvSpPr>
        <xdr:cNvPr id="1384" name="Callout: Double Bent Line with Border and Accent Bar 1383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D122767E-DA69-453F-98D3-0E1F527C225A}"/>
            </a:ext>
          </a:extLst>
        </xdr:cNvPr>
        <xdr:cNvSpPr/>
      </xdr:nvSpPr>
      <xdr:spPr>
        <a:xfrm>
          <a:off x="12905852" y="19332610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40</xdr:col>
      <xdr:colOff>304800</xdr:colOff>
      <xdr:row>13</xdr:row>
      <xdr:rowOff>127000</xdr:rowOff>
    </xdr:to>
    <xdr:sp macro="[1]!CalloutLine1_Click" textlink="">
      <xdr:nvSpPr>
        <xdr:cNvPr id="1385" name="Callout: Line 6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A51A541D-69F3-4DBF-B951-A9505B95FDD2}"/>
            </a:ext>
          </a:extLst>
        </xdr:cNvPr>
        <xdr:cNvSpPr>
          <a:spLocks/>
        </xdr:cNvSpPr>
      </xdr:nvSpPr>
      <xdr:spPr bwMode="auto">
        <a:xfrm>
          <a:off x="13575742" y="19332610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39</xdr:col>
      <xdr:colOff>266700</xdr:colOff>
      <xdr:row>14</xdr:row>
      <xdr:rowOff>114300</xdr:rowOff>
    </xdr:to>
    <xdr:sp macro="" textlink="">
      <xdr:nvSpPr>
        <xdr:cNvPr id="1386" name="Callout: Double Bent Line with Border and Accent Bar 1385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8C718F3E-45B3-408D-BA0C-CF9E29B7600F}"/>
            </a:ext>
          </a:extLst>
        </xdr:cNvPr>
        <xdr:cNvSpPr/>
      </xdr:nvSpPr>
      <xdr:spPr>
        <a:xfrm>
          <a:off x="12905852" y="1954195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40</xdr:col>
      <xdr:colOff>304800</xdr:colOff>
      <xdr:row>14</xdr:row>
      <xdr:rowOff>127000</xdr:rowOff>
    </xdr:to>
    <xdr:sp macro="[1]!CalloutLine1_Click" textlink="">
      <xdr:nvSpPr>
        <xdr:cNvPr id="1387" name="Callout: Line 6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85229438-D9EE-4209-BC38-F5EFCAE984CE}"/>
            </a:ext>
          </a:extLst>
        </xdr:cNvPr>
        <xdr:cNvSpPr>
          <a:spLocks/>
        </xdr:cNvSpPr>
      </xdr:nvSpPr>
      <xdr:spPr bwMode="auto">
        <a:xfrm>
          <a:off x="13575742" y="1954195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39</xdr:col>
      <xdr:colOff>266700</xdr:colOff>
      <xdr:row>15</xdr:row>
      <xdr:rowOff>114300</xdr:rowOff>
    </xdr:to>
    <xdr:sp macro="" textlink="">
      <xdr:nvSpPr>
        <xdr:cNvPr id="1388" name="Callout: Double Bent Line with Border and Accent Bar 1387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ADE7438A-37CC-4ECD-9579-431C3F2A5E14}"/>
            </a:ext>
          </a:extLst>
        </xdr:cNvPr>
        <xdr:cNvSpPr/>
      </xdr:nvSpPr>
      <xdr:spPr>
        <a:xfrm>
          <a:off x="12905852" y="1975129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40</xdr:col>
      <xdr:colOff>304800</xdr:colOff>
      <xdr:row>15</xdr:row>
      <xdr:rowOff>127000</xdr:rowOff>
    </xdr:to>
    <xdr:sp macro="[1]!CalloutLine1_Click" textlink="">
      <xdr:nvSpPr>
        <xdr:cNvPr id="1389" name="Callout: Line 6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B3CE0425-8FCA-41BC-ACBA-E658801C7717}"/>
            </a:ext>
          </a:extLst>
        </xdr:cNvPr>
        <xdr:cNvSpPr>
          <a:spLocks/>
        </xdr:cNvSpPr>
      </xdr:nvSpPr>
      <xdr:spPr bwMode="auto">
        <a:xfrm>
          <a:off x="13575742" y="1975129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39</xdr:col>
      <xdr:colOff>266700</xdr:colOff>
      <xdr:row>16</xdr:row>
      <xdr:rowOff>114300</xdr:rowOff>
    </xdr:to>
    <xdr:sp macro="" textlink="">
      <xdr:nvSpPr>
        <xdr:cNvPr id="1390" name="Callout: Double Bent Line with Border and Accent Bar 138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15284DD2-9582-4C2F-85BC-34BD28160C56}"/>
            </a:ext>
          </a:extLst>
        </xdr:cNvPr>
        <xdr:cNvSpPr/>
      </xdr:nvSpPr>
      <xdr:spPr>
        <a:xfrm>
          <a:off x="12905852" y="19960632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40</xdr:col>
      <xdr:colOff>304800</xdr:colOff>
      <xdr:row>16</xdr:row>
      <xdr:rowOff>127000</xdr:rowOff>
    </xdr:to>
    <xdr:sp macro="[1]!CalloutLine1_Click" textlink="">
      <xdr:nvSpPr>
        <xdr:cNvPr id="1391" name="Callout: Line 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ECCA886E-5D8D-404E-A38C-AB77687144F4}"/>
            </a:ext>
          </a:extLst>
        </xdr:cNvPr>
        <xdr:cNvSpPr>
          <a:spLocks/>
        </xdr:cNvSpPr>
      </xdr:nvSpPr>
      <xdr:spPr bwMode="auto">
        <a:xfrm>
          <a:off x="13575742" y="19960632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49</xdr:col>
      <xdr:colOff>85725</xdr:colOff>
      <xdr:row>4</xdr:row>
      <xdr:rowOff>71384</xdr:rowOff>
    </xdr:from>
    <xdr:to>
      <xdr:col>52</xdr:col>
      <xdr:colOff>571919</xdr:colOff>
      <xdr:row>5</xdr:row>
      <xdr:rowOff>155120</xdr:rowOff>
    </xdr:to>
    <xdr:sp macro="[0]!ouvrir" textlink="">
      <xdr:nvSpPr>
        <xdr:cNvPr id="3" name="Rectangle 2">
          <a:extLst>
            <a:ext uri="{FF2B5EF4-FFF2-40B4-BE49-F238E27FC236}">
              <a16:creationId xmlns:a16="http://schemas.microsoft.com/office/drawing/2014/main" id="{83B341A6-E29C-4C50-A7D9-A0A41A092B79}"/>
            </a:ext>
          </a:extLst>
        </xdr:cNvPr>
        <xdr:cNvSpPr/>
      </xdr:nvSpPr>
      <xdr:spPr>
        <a:xfrm>
          <a:off x="20002500" y="985784"/>
          <a:ext cx="2686469" cy="293286"/>
        </a:xfrm>
        <a:prstGeom prst="rect">
          <a:avLst/>
        </a:prstGeom>
        <a:solidFill>
          <a:srgbClr val="D759B6"/>
        </a:solidFill>
        <a:ln>
          <a:solidFill>
            <a:srgbClr val="7030A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I" sz="1200" b="1">
              <a:latin typeface="Century Gothic" panose="020B0502020202020204" pitchFamily="34" charset="0"/>
            </a:rPr>
            <a:t>Input data and search </a:t>
          </a:r>
        </a:p>
      </xdr:txBody>
    </xdr:sp>
    <xdr:clientData/>
  </xdr:twoCellAnchor>
  <xdr:twoCellAnchor>
    <xdr:from>
      <xdr:col>49</xdr:col>
      <xdr:colOff>94203</xdr:colOff>
      <xdr:row>10</xdr:row>
      <xdr:rowOff>188406</xdr:rowOff>
    </xdr:from>
    <xdr:to>
      <xdr:col>52</xdr:col>
      <xdr:colOff>638489</xdr:colOff>
      <xdr:row>12</xdr:row>
      <xdr:rowOff>31401</xdr:rowOff>
    </xdr:to>
    <xdr:sp macro="[0]!SupprimeLocalite" textlink="">
      <xdr:nvSpPr>
        <xdr:cNvPr id="2" name="Rectangle 1">
          <a:extLst>
            <a:ext uri="{FF2B5EF4-FFF2-40B4-BE49-F238E27FC236}">
              <a16:creationId xmlns:a16="http://schemas.microsoft.com/office/drawing/2014/main" id="{822EA4C3-3F0F-400C-9AC9-EF6EAE342DBC}"/>
            </a:ext>
          </a:extLst>
        </xdr:cNvPr>
        <xdr:cNvSpPr/>
      </xdr:nvSpPr>
      <xdr:spPr>
        <a:xfrm>
          <a:off x="20128104" y="2355082"/>
          <a:ext cx="2742363" cy="261676"/>
        </a:xfrm>
        <a:prstGeom prst="rect">
          <a:avLst/>
        </a:prstGeom>
        <a:solidFill>
          <a:srgbClr val="D6009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I" sz="1100" b="1">
              <a:latin typeface="Century Gothic" panose="020B0502020202020204" pitchFamily="34" charset="0"/>
            </a:rPr>
            <a:t>	delete</a:t>
          </a:r>
          <a:r>
            <a:rPr lang="fr-CI" sz="1100" b="1" baseline="0">
              <a:latin typeface="Century Gothic" panose="020B0502020202020204" pitchFamily="34" charset="0"/>
            </a:rPr>
            <a:t> </a:t>
          </a:r>
          <a:r>
            <a:rPr lang="fr-CI" sz="1100" b="1">
              <a:latin typeface="Century Gothic" panose="020B0502020202020204" pitchFamily="34" charset="0"/>
            </a:rPr>
            <a:t> row</a:t>
          </a:r>
        </a:p>
      </xdr:txBody>
    </xdr:sp>
    <xdr:clientData/>
  </xdr:twoCellAnchor>
  <xdr:twoCellAnchor>
    <xdr:from>
      <xdr:col>49</xdr:col>
      <xdr:colOff>85725</xdr:colOff>
      <xdr:row>8</xdr:row>
      <xdr:rowOff>125604</xdr:rowOff>
    </xdr:from>
    <xdr:to>
      <xdr:col>52</xdr:col>
      <xdr:colOff>607089</xdr:colOff>
      <xdr:row>9</xdr:row>
      <xdr:rowOff>177940</xdr:rowOff>
    </xdr:to>
    <xdr:sp macro="[0]!AffichageModification" textlink="">
      <xdr:nvSpPr>
        <xdr:cNvPr id="1392" name="Rectangle 1391">
          <a:extLst>
            <a:ext uri="{FF2B5EF4-FFF2-40B4-BE49-F238E27FC236}">
              <a16:creationId xmlns:a16="http://schemas.microsoft.com/office/drawing/2014/main" id="{FBF56D00-F43D-40C6-B505-0D6D769B1F68}"/>
            </a:ext>
          </a:extLst>
        </xdr:cNvPr>
        <xdr:cNvSpPr/>
      </xdr:nvSpPr>
      <xdr:spPr>
        <a:xfrm>
          <a:off x="20002500" y="1878204"/>
          <a:ext cx="2721639" cy="261886"/>
        </a:xfrm>
        <a:prstGeom prst="rect">
          <a:avLst/>
        </a:prstGeom>
        <a:solidFill>
          <a:srgbClr val="D6009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I" sz="1100" b="1">
              <a:latin typeface="Century Gothic" panose="020B0502020202020204" pitchFamily="34" charset="0"/>
            </a:rPr>
            <a:t>	Edit</a:t>
          </a:r>
          <a:r>
            <a:rPr lang="fr-CI" sz="1100" b="1" baseline="0">
              <a:latin typeface="Century Gothic" panose="020B0502020202020204" pitchFamily="34" charset="0"/>
            </a:rPr>
            <a:t> database </a:t>
          </a:r>
          <a:endParaRPr lang="fr-CI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49</xdr:col>
      <xdr:colOff>104775</xdr:colOff>
      <xdr:row>6</xdr:row>
      <xdr:rowOff>89598</xdr:rowOff>
    </xdr:from>
    <xdr:to>
      <xdr:col>52</xdr:col>
      <xdr:colOff>623418</xdr:colOff>
      <xdr:row>7</xdr:row>
      <xdr:rowOff>141933</xdr:rowOff>
    </xdr:to>
    <xdr:sp macro="[0]!AffichageAjouter" textlink="">
      <xdr:nvSpPr>
        <xdr:cNvPr id="1393" name="Rectangle 1392">
          <a:extLst>
            <a:ext uri="{FF2B5EF4-FFF2-40B4-BE49-F238E27FC236}">
              <a16:creationId xmlns:a16="http://schemas.microsoft.com/office/drawing/2014/main" id="{FC829520-BFC4-4257-B40B-1CE7E64800AA}"/>
            </a:ext>
          </a:extLst>
        </xdr:cNvPr>
        <xdr:cNvSpPr/>
      </xdr:nvSpPr>
      <xdr:spPr>
        <a:xfrm>
          <a:off x="20021550" y="1423098"/>
          <a:ext cx="2718918" cy="261885"/>
        </a:xfrm>
        <a:prstGeom prst="rect">
          <a:avLst/>
        </a:prstGeom>
        <a:solidFill>
          <a:srgbClr val="D6009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I" sz="1100" b="1">
              <a:latin typeface="Century Gothic" panose="020B0502020202020204" pitchFamily="34" charset="0"/>
            </a:rPr>
            <a:t>	Add</a:t>
          </a:r>
          <a:r>
            <a:rPr lang="fr-CI" sz="1100" b="1" baseline="0">
              <a:latin typeface="Century Gothic" panose="020B0502020202020204" pitchFamily="34" charset="0"/>
            </a:rPr>
            <a:t> a new data</a:t>
          </a:r>
          <a:endParaRPr lang="fr-CI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14</xdr:col>
      <xdr:colOff>0</xdr:colOff>
      <xdr:row>91</xdr:row>
      <xdr:rowOff>0</xdr:rowOff>
    </xdr:from>
    <xdr:to>
      <xdr:col>14</xdr:col>
      <xdr:colOff>304800</xdr:colOff>
      <xdr:row>91</xdr:row>
      <xdr:rowOff>127000</xdr:rowOff>
    </xdr:to>
    <xdr:sp macro="[1]!CalloutLine1_Click" textlink="">
      <xdr:nvSpPr>
        <xdr:cNvPr id="1394" name="Callout: Line 72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B05C265E-3C61-4D8E-964F-B6DC713597DC}"/>
            </a:ext>
          </a:extLst>
        </xdr:cNvPr>
        <xdr:cNvSpPr>
          <a:spLocks/>
        </xdr:cNvSpPr>
      </xdr:nvSpPr>
      <xdr:spPr bwMode="auto">
        <a:xfrm>
          <a:off x="13570324" y="1753720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92</xdr:row>
      <xdr:rowOff>0</xdr:rowOff>
    </xdr:from>
    <xdr:to>
      <xdr:col>14</xdr:col>
      <xdr:colOff>304800</xdr:colOff>
      <xdr:row>92</xdr:row>
      <xdr:rowOff>127000</xdr:rowOff>
    </xdr:to>
    <xdr:sp macro="[1]!CalloutLine1_Click" textlink="">
      <xdr:nvSpPr>
        <xdr:cNvPr id="1395" name="Callout: Line 7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5A1F5EE-03E7-43D4-B4B6-0A839899E553}"/>
            </a:ext>
          </a:extLst>
        </xdr:cNvPr>
        <xdr:cNvSpPr>
          <a:spLocks/>
        </xdr:cNvSpPr>
      </xdr:nvSpPr>
      <xdr:spPr bwMode="auto">
        <a:xfrm>
          <a:off x="13570324" y="1775011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9525</xdr:colOff>
      <xdr:row>90</xdr:row>
      <xdr:rowOff>9525</xdr:rowOff>
    </xdr:from>
    <xdr:to>
      <xdr:col>14</xdr:col>
      <xdr:colOff>314325</xdr:colOff>
      <xdr:row>90</xdr:row>
      <xdr:rowOff>136525</xdr:rowOff>
    </xdr:to>
    <xdr:sp macro="[1]!CalloutLine1_Click" textlink="">
      <xdr:nvSpPr>
        <xdr:cNvPr id="1396" name="Callout: Line 6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EBF285F-05FA-49E1-9C01-06F8F09FCD97}"/>
            </a:ext>
          </a:extLst>
        </xdr:cNvPr>
        <xdr:cNvSpPr>
          <a:spLocks/>
        </xdr:cNvSpPr>
      </xdr:nvSpPr>
      <xdr:spPr bwMode="auto">
        <a:xfrm>
          <a:off x="13579849" y="1733381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93</xdr:row>
      <xdr:rowOff>0</xdr:rowOff>
    </xdr:from>
    <xdr:to>
      <xdr:col>14</xdr:col>
      <xdr:colOff>304800</xdr:colOff>
      <xdr:row>93</xdr:row>
      <xdr:rowOff>127000</xdr:rowOff>
    </xdr:to>
    <xdr:sp macro="[1]!CalloutLine1_Click" textlink="">
      <xdr:nvSpPr>
        <xdr:cNvPr id="1397" name="Callout: Line 7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FA1FED2-A14B-493A-9BFB-2DD55CBD2670}"/>
            </a:ext>
          </a:extLst>
        </xdr:cNvPr>
        <xdr:cNvSpPr>
          <a:spLocks/>
        </xdr:cNvSpPr>
      </xdr:nvSpPr>
      <xdr:spPr bwMode="auto">
        <a:xfrm>
          <a:off x="13570324" y="17963029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94</xdr:row>
      <xdr:rowOff>0</xdr:rowOff>
    </xdr:from>
    <xdr:to>
      <xdr:col>14</xdr:col>
      <xdr:colOff>304800</xdr:colOff>
      <xdr:row>94</xdr:row>
      <xdr:rowOff>127000</xdr:rowOff>
    </xdr:to>
    <xdr:sp macro="[1]!CalloutLine1_Click" textlink="">
      <xdr:nvSpPr>
        <xdr:cNvPr id="1398" name="Callout: Line 7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86B2EEB3-B27F-463A-ABB1-B9C770D08823}"/>
            </a:ext>
          </a:extLst>
        </xdr:cNvPr>
        <xdr:cNvSpPr>
          <a:spLocks/>
        </xdr:cNvSpPr>
      </xdr:nvSpPr>
      <xdr:spPr bwMode="auto">
        <a:xfrm>
          <a:off x="13570324" y="18175941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14</xdr:col>
      <xdr:colOff>0</xdr:colOff>
      <xdr:row>95</xdr:row>
      <xdr:rowOff>0</xdr:rowOff>
    </xdr:from>
    <xdr:to>
      <xdr:col>14</xdr:col>
      <xdr:colOff>304800</xdr:colOff>
      <xdr:row>95</xdr:row>
      <xdr:rowOff>127000</xdr:rowOff>
    </xdr:to>
    <xdr:sp macro="[1]!CalloutLine1_Click" textlink="">
      <xdr:nvSpPr>
        <xdr:cNvPr id="1399" name="Callout: Line 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BF290660-C344-40BB-94AC-05DF095F782B}"/>
            </a:ext>
          </a:extLst>
        </xdr:cNvPr>
        <xdr:cNvSpPr>
          <a:spLocks/>
        </xdr:cNvSpPr>
      </xdr:nvSpPr>
      <xdr:spPr bwMode="auto">
        <a:xfrm>
          <a:off x="13570324" y="18388853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93</xdr:row>
      <xdr:rowOff>0</xdr:rowOff>
    </xdr:from>
    <xdr:to>
      <xdr:col>13</xdr:col>
      <xdr:colOff>266700</xdr:colOff>
      <xdr:row>93</xdr:row>
      <xdr:rowOff>114300</xdr:rowOff>
    </xdr:to>
    <xdr:sp macro="" textlink="">
      <xdr:nvSpPr>
        <xdr:cNvPr id="1400" name="Callout: Double Bent Line with Border and Accent Bar 1399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D5877170-D415-4CF0-94B1-A2B2BDDF3949}"/>
            </a:ext>
          </a:extLst>
        </xdr:cNvPr>
        <xdr:cNvSpPr/>
      </xdr:nvSpPr>
      <xdr:spPr>
        <a:xfrm>
          <a:off x="12897971" y="17963029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94</xdr:row>
      <xdr:rowOff>0</xdr:rowOff>
    </xdr:from>
    <xdr:to>
      <xdr:col>13</xdr:col>
      <xdr:colOff>266700</xdr:colOff>
      <xdr:row>94</xdr:row>
      <xdr:rowOff>114300</xdr:rowOff>
    </xdr:to>
    <xdr:sp macro="" textlink="">
      <xdr:nvSpPr>
        <xdr:cNvPr id="1401" name="Callout: Double Bent Line with Border and Accent Bar 1400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CDC01937-1EB3-455D-A079-F29DAF65C343}"/>
            </a:ext>
          </a:extLst>
        </xdr:cNvPr>
        <xdr:cNvSpPr/>
      </xdr:nvSpPr>
      <xdr:spPr>
        <a:xfrm>
          <a:off x="12897971" y="18175941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95</xdr:row>
      <xdr:rowOff>0</xdr:rowOff>
    </xdr:from>
    <xdr:to>
      <xdr:col>13</xdr:col>
      <xdr:colOff>266700</xdr:colOff>
      <xdr:row>95</xdr:row>
      <xdr:rowOff>114300</xdr:rowOff>
    </xdr:to>
    <xdr:sp macro="" textlink="">
      <xdr:nvSpPr>
        <xdr:cNvPr id="1402" name="Callout: Double Bent Line with Border and Accent Bar 1401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BC853440-BBE3-49E6-A2E7-D0A7BD59EB9B}"/>
            </a:ext>
          </a:extLst>
        </xdr:cNvPr>
        <xdr:cNvSpPr/>
      </xdr:nvSpPr>
      <xdr:spPr>
        <a:xfrm>
          <a:off x="12897971" y="18388853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91</xdr:row>
      <xdr:rowOff>0</xdr:rowOff>
    </xdr:from>
    <xdr:to>
      <xdr:col>13</xdr:col>
      <xdr:colOff>266700</xdr:colOff>
      <xdr:row>91</xdr:row>
      <xdr:rowOff>114300</xdr:rowOff>
    </xdr:to>
    <xdr:sp macro="" textlink="">
      <xdr:nvSpPr>
        <xdr:cNvPr id="1403" name="Callout: Double Bent Line with Border and Accent Bar 140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9AB7A97E-0796-47CA-B7F3-BC9B7CF82CCE}"/>
            </a:ext>
          </a:extLst>
        </xdr:cNvPr>
        <xdr:cNvSpPr/>
      </xdr:nvSpPr>
      <xdr:spPr>
        <a:xfrm>
          <a:off x="12897971" y="1753720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92</xdr:row>
      <xdr:rowOff>0</xdr:rowOff>
    </xdr:from>
    <xdr:to>
      <xdr:col>13</xdr:col>
      <xdr:colOff>266700</xdr:colOff>
      <xdr:row>92</xdr:row>
      <xdr:rowOff>114300</xdr:rowOff>
    </xdr:to>
    <xdr:sp macro="" textlink="">
      <xdr:nvSpPr>
        <xdr:cNvPr id="1404" name="Callout: Double Bent Line with Border and Accent Bar 1403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8333E72B-B2F8-4850-B35F-EBBB36DFF52F}"/>
            </a:ext>
          </a:extLst>
        </xdr:cNvPr>
        <xdr:cNvSpPr/>
      </xdr:nvSpPr>
      <xdr:spPr>
        <a:xfrm>
          <a:off x="12897971" y="1775011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13</xdr:col>
      <xdr:colOff>0</xdr:colOff>
      <xdr:row>90</xdr:row>
      <xdr:rowOff>0</xdr:rowOff>
    </xdr:from>
    <xdr:to>
      <xdr:col>13</xdr:col>
      <xdr:colOff>266700</xdr:colOff>
      <xdr:row>90</xdr:row>
      <xdr:rowOff>114300</xdr:rowOff>
    </xdr:to>
    <xdr:sp macro="" textlink="">
      <xdr:nvSpPr>
        <xdr:cNvPr id="1405" name="Callout: Double Bent Line with Border and Accent Bar 1404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AE35AFD4-9CAF-44CF-8A66-D39017F66F9F}"/>
            </a:ext>
          </a:extLst>
        </xdr:cNvPr>
        <xdr:cNvSpPr/>
      </xdr:nvSpPr>
      <xdr:spPr>
        <a:xfrm>
          <a:off x="12897971" y="1732429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96</xdr:row>
      <xdr:rowOff>0</xdr:rowOff>
    </xdr:from>
    <xdr:to>
      <xdr:col>14</xdr:col>
      <xdr:colOff>304800</xdr:colOff>
      <xdr:row>96</xdr:row>
      <xdr:rowOff>127000</xdr:rowOff>
    </xdr:to>
    <xdr:sp macro="[1]!CalloutLine1_Click" textlink="">
      <xdr:nvSpPr>
        <xdr:cNvPr id="1406" name="Callout: Line 73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EB430D27-FB2B-41B2-9F4C-2A012420C1CD}"/>
            </a:ext>
          </a:extLst>
        </xdr:cNvPr>
        <xdr:cNvSpPr>
          <a:spLocks/>
        </xdr:cNvSpPr>
      </xdr:nvSpPr>
      <xdr:spPr bwMode="auto">
        <a:xfrm>
          <a:off x="13570324" y="18601765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96</xdr:row>
      <xdr:rowOff>0</xdr:rowOff>
    </xdr:from>
    <xdr:to>
      <xdr:col>13</xdr:col>
      <xdr:colOff>266700</xdr:colOff>
      <xdr:row>96</xdr:row>
      <xdr:rowOff>114300</xdr:rowOff>
    </xdr:to>
    <xdr:sp macro="" textlink="">
      <xdr:nvSpPr>
        <xdr:cNvPr id="1407" name="Callout: Double Bent Line with Border and Accent Bar 1406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AB9BB12A-84AA-4BA2-A837-8185781AAFF2}"/>
            </a:ext>
          </a:extLst>
        </xdr:cNvPr>
        <xdr:cNvSpPr/>
      </xdr:nvSpPr>
      <xdr:spPr>
        <a:xfrm>
          <a:off x="12897971" y="18601765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97</xdr:row>
      <xdr:rowOff>0</xdr:rowOff>
    </xdr:from>
    <xdr:to>
      <xdr:col>14</xdr:col>
      <xdr:colOff>304800</xdr:colOff>
      <xdr:row>97</xdr:row>
      <xdr:rowOff>127000</xdr:rowOff>
    </xdr:to>
    <xdr:sp macro="[1]!CalloutLine1_Click" textlink="">
      <xdr:nvSpPr>
        <xdr:cNvPr id="1408" name="Callout: Line 7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E54636-F5AF-4323-96E0-362B1DAAAEED}"/>
            </a:ext>
          </a:extLst>
        </xdr:cNvPr>
        <xdr:cNvSpPr>
          <a:spLocks/>
        </xdr:cNvSpPr>
      </xdr:nvSpPr>
      <xdr:spPr bwMode="auto">
        <a:xfrm>
          <a:off x="13570324" y="18814676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97</xdr:row>
      <xdr:rowOff>0</xdr:rowOff>
    </xdr:from>
    <xdr:to>
      <xdr:col>13</xdr:col>
      <xdr:colOff>266700</xdr:colOff>
      <xdr:row>97</xdr:row>
      <xdr:rowOff>114300</xdr:rowOff>
    </xdr:to>
    <xdr:sp macro="" textlink="">
      <xdr:nvSpPr>
        <xdr:cNvPr id="1409" name="Callout: Double Bent Line with Border and Accent Bar 1408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4AEF3C1-0CD8-4C1E-8987-B3A1A0BC8D74}"/>
            </a:ext>
          </a:extLst>
        </xdr:cNvPr>
        <xdr:cNvSpPr/>
      </xdr:nvSpPr>
      <xdr:spPr>
        <a:xfrm>
          <a:off x="12897971" y="18814676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98</xdr:row>
      <xdr:rowOff>0</xdr:rowOff>
    </xdr:from>
    <xdr:to>
      <xdr:col>14</xdr:col>
      <xdr:colOff>304800</xdr:colOff>
      <xdr:row>98</xdr:row>
      <xdr:rowOff>127000</xdr:rowOff>
    </xdr:to>
    <xdr:sp macro="[1]!CalloutLine1_Click" textlink="">
      <xdr:nvSpPr>
        <xdr:cNvPr id="1410" name="Callout: Line 73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B098CFCD-5688-47FF-B995-148914B85CBE}"/>
            </a:ext>
          </a:extLst>
        </xdr:cNvPr>
        <xdr:cNvSpPr>
          <a:spLocks/>
        </xdr:cNvSpPr>
      </xdr:nvSpPr>
      <xdr:spPr bwMode="auto">
        <a:xfrm>
          <a:off x="13570324" y="19027588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98</xdr:row>
      <xdr:rowOff>0</xdr:rowOff>
    </xdr:from>
    <xdr:to>
      <xdr:col>13</xdr:col>
      <xdr:colOff>266700</xdr:colOff>
      <xdr:row>98</xdr:row>
      <xdr:rowOff>114300</xdr:rowOff>
    </xdr:to>
    <xdr:sp macro="" textlink="">
      <xdr:nvSpPr>
        <xdr:cNvPr id="1411" name="Callout: Double Bent Line with Border and Accent Bar 1410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EF58AFD2-C45A-40A9-8D9E-1F06F5F178D2}"/>
            </a:ext>
          </a:extLst>
        </xdr:cNvPr>
        <xdr:cNvSpPr/>
      </xdr:nvSpPr>
      <xdr:spPr>
        <a:xfrm>
          <a:off x="12897971" y="19027588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  <xdr:twoCellAnchor>
    <xdr:from>
      <xdr:col>14</xdr:col>
      <xdr:colOff>0</xdr:colOff>
      <xdr:row>99</xdr:row>
      <xdr:rowOff>0</xdr:rowOff>
    </xdr:from>
    <xdr:to>
      <xdr:col>14</xdr:col>
      <xdr:colOff>304800</xdr:colOff>
      <xdr:row>99</xdr:row>
      <xdr:rowOff>127000</xdr:rowOff>
    </xdr:to>
    <xdr:sp macro="[1]!CalloutLine1_Click" textlink="">
      <xdr:nvSpPr>
        <xdr:cNvPr id="1412" name="Callout: Line 73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70ABDCF5-7CB6-4540-8B03-120C7DAC2EEC}"/>
            </a:ext>
          </a:extLst>
        </xdr:cNvPr>
        <xdr:cNvSpPr>
          <a:spLocks/>
        </xdr:cNvSpPr>
      </xdr:nvSpPr>
      <xdr:spPr bwMode="auto">
        <a:xfrm>
          <a:off x="13570324" y="20943794"/>
          <a:ext cx="304800" cy="127000"/>
        </a:xfrm>
        <a:prstGeom prst="borderCallout1">
          <a:avLst>
            <a:gd name="adj1" fmla="val 18750"/>
            <a:gd name="adj2" fmla="val -8333"/>
            <a:gd name="adj3" fmla="val 12500"/>
            <a:gd name="adj4" fmla="val -9764"/>
          </a:avLst>
        </a:prstGeom>
        <a:noFill/>
        <a:ln w="12700">
          <a:solidFill>
            <a:srgbClr val="41719C"/>
          </a:solidFill>
          <a:miter lim="800000"/>
          <a:headEnd/>
          <a:tailEnd/>
        </a:ln>
        <a:effectLst>
          <a:outerShdw blurRad="50800" dist="38100" dir="16200000" rotWithShape="0">
            <a:srgbClr val="000000">
              <a:alpha val="39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0</xdr:colOff>
      <xdr:row>99</xdr:row>
      <xdr:rowOff>0</xdr:rowOff>
    </xdr:from>
    <xdr:to>
      <xdr:col>13</xdr:col>
      <xdr:colOff>266700</xdr:colOff>
      <xdr:row>99</xdr:row>
      <xdr:rowOff>114300</xdr:rowOff>
    </xdr:to>
    <xdr:sp macro="" textlink="">
      <xdr:nvSpPr>
        <xdr:cNvPr id="1413" name="Callout: Double Bent Line with Border and Accent Bar 1412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BC01C5A-29AE-48E5-AFCC-96C326CCC693}"/>
            </a:ext>
          </a:extLst>
        </xdr:cNvPr>
        <xdr:cNvSpPr/>
      </xdr:nvSpPr>
      <xdr:spPr>
        <a:xfrm>
          <a:off x="12897971" y="20943794"/>
          <a:ext cx="266700" cy="114300"/>
        </a:xfrm>
        <a:prstGeom prst="accent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21297"/>
            <a:gd name="adj8" fmla="val -61904"/>
          </a:avLst>
        </a:prstGeom>
        <a:scene3d>
          <a:camera prst="perspectiveContrastingLeftFacing"/>
          <a:lightRig rig="threePt" dir="t"/>
        </a:scene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CI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5</xdr:row>
      <xdr:rowOff>47625</xdr:rowOff>
    </xdr:from>
    <xdr:to>
      <xdr:col>3</xdr:col>
      <xdr:colOff>552450</xdr:colOff>
      <xdr:row>15</xdr:row>
      <xdr:rowOff>152400</xdr:rowOff>
    </xdr:to>
    <xdr:sp macro="" textlink="">
      <xdr:nvSpPr>
        <xdr:cNvPr id="2" name="Accolade ferman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90850" y="1000125"/>
          <a:ext cx="428625" cy="2009775"/>
        </a:xfrm>
        <a:prstGeom prst="rightBrac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0</xdr:colOff>
      <xdr:row>0</xdr:row>
      <xdr:rowOff>104775</xdr:rowOff>
    </xdr:from>
    <xdr:to>
      <xdr:col>6</xdr:col>
      <xdr:colOff>47625</xdr:colOff>
      <xdr:row>2</xdr:row>
      <xdr:rowOff>38100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62000" y="104775"/>
          <a:ext cx="4438650" cy="3143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=DECALER('Liste '!$C$5;1;0;NBVAL('Liste '!$C$6:$C$100))</a:t>
          </a:r>
          <a:r>
            <a:rPr lang="fr-FR" sz="14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0</xdr:col>
      <xdr:colOff>647700</xdr:colOff>
      <xdr:row>18</xdr:row>
      <xdr:rowOff>133350</xdr:rowOff>
    </xdr:from>
    <xdr:to>
      <xdr:col>6</xdr:col>
      <xdr:colOff>85725</xdr:colOff>
      <xdr:row>25</xdr:row>
      <xdr:rowOff>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47700" y="3609975"/>
          <a:ext cx="4591050" cy="1200150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Cette formule</a:t>
          </a:r>
          <a:r>
            <a:rPr lang="fr-FR" sz="14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vous permet de créer une zone nommée dynamique quelque soit le nombre d'enregistrement</a:t>
          </a:r>
        </a:p>
        <a:p>
          <a:pPr algn="l"/>
          <a:endParaRPr lang="fr-FR" sz="1400" b="1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fr-FR" sz="14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=DECALER('Liste '!$C$5;1;0;NBVAL('Liste '!$C$6:$C$100))</a:t>
          </a:r>
          <a:r>
            <a:rPr lang="fr-FR" sz="14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8</xdr:col>
      <xdr:colOff>723901</xdr:colOff>
      <xdr:row>3</xdr:row>
      <xdr:rowOff>95250</xdr:rowOff>
    </xdr:from>
    <xdr:to>
      <xdr:col>9</xdr:col>
      <xdr:colOff>371476</xdr:colOff>
      <xdr:row>5</xdr:row>
      <xdr:rowOff>180975</xdr:rowOff>
    </xdr:to>
    <xdr:cxnSp macro="">
      <xdr:nvCxnSpPr>
        <xdr:cNvPr id="6" name="Connecteur en 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6200000" flipV="1">
          <a:off x="7372351" y="695325"/>
          <a:ext cx="466725" cy="409575"/>
        </a:xfrm>
        <a:prstGeom prst="bentConnector3">
          <a:avLst>
            <a:gd name="adj1" fmla="val 98981"/>
          </a:avLst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685801</xdr:colOff>
      <xdr:row>4</xdr:row>
      <xdr:rowOff>85725</xdr:rowOff>
    </xdr:from>
    <xdr:to>
      <xdr:col>9</xdr:col>
      <xdr:colOff>180976</xdr:colOff>
      <xdr:row>6</xdr:row>
      <xdr:rowOff>2</xdr:rowOff>
    </xdr:to>
    <xdr:cxnSp macro="">
      <xdr:nvCxnSpPr>
        <xdr:cNvPr id="9" name="Connecteur en 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rot="16200000" flipV="1">
          <a:off x="7343775" y="866776"/>
          <a:ext cx="295277" cy="257175"/>
        </a:xfrm>
        <a:prstGeom prst="bentConnector3">
          <a:avLst>
            <a:gd name="adj1" fmla="val 95161"/>
          </a:avLst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514351</xdr:colOff>
      <xdr:row>3</xdr:row>
      <xdr:rowOff>95250</xdr:rowOff>
    </xdr:from>
    <xdr:to>
      <xdr:col>10</xdr:col>
      <xdr:colOff>161926</xdr:colOff>
      <xdr:row>5</xdr:row>
      <xdr:rowOff>180975</xdr:rowOff>
    </xdr:to>
    <xdr:cxnSp macro="">
      <xdr:nvCxnSpPr>
        <xdr:cNvPr id="14" name="Connecteur en 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rot="5400000" flipH="1" flipV="1">
          <a:off x="7924801" y="695325"/>
          <a:ext cx="466725" cy="409575"/>
        </a:xfrm>
        <a:prstGeom prst="bentConnector3">
          <a:avLst>
            <a:gd name="adj1" fmla="val 98981"/>
          </a:avLst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723901</xdr:colOff>
      <xdr:row>4</xdr:row>
      <xdr:rowOff>76200</xdr:rowOff>
    </xdr:from>
    <xdr:to>
      <xdr:col>10</xdr:col>
      <xdr:colOff>219076</xdr:colOff>
      <xdr:row>5</xdr:row>
      <xdr:rowOff>180977</xdr:rowOff>
    </xdr:to>
    <xdr:cxnSp macro="">
      <xdr:nvCxnSpPr>
        <xdr:cNvPr id="15" name="Connecteur en 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 rot="5400000" flipH="1" flipV="1">
          <a:off x="8143875" y="857251"/>
          <a:ext cx="295277" cy="257175"/>
        </a:xfrm>
        <a:prstGeom prst="bentConnector3">
          <a:avLst>
            <a:gd name="adj1" fmla="val 95161"/>
          </a:avLst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85725</xdr:colOff>
      <xdr:row>5</xdr:row>
      <xdr:rowOff>85725</xdr:rowOff>
    </xdr:from>
    <xdr:to>
      <xdr:col>10</xdr:col>
      <xdr:colOff>304800</xdr:colOff>
      <xdr:row>5</xdr:row>
      <xdr:rowOff>180976</xdr:rowOff>
    </xdr:to>
    <xdr:cxnSp macro="">
      <xdr:nvCxnSpPr>
        <xdr:cNvPr id="16" name="Connecteur en 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8334375" y="1038225"/>
          <a:ext cx="219075" cy="95251"/>
        </a:xfrm>
        <a:prstGeom prst="bentConnector3">
          <a:avLst>
            <a:gd name="adj1" fmla="val 6522"/>
          </a:avLst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7</xdr:row>
      <xdr:rowOff>123825</xdr:rowOff>
    </xdr:from>
    <xdr:to>
      <xdr:col>14</xdr:col>
      <xdr:colOff>399426</xdr:colOff>
      <xdr:row>24</xdr:row>
      <xdr:rowOff>142468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6467475" y="1504950"/>
          <a:ext cx="4990476" cy="3257143"/>
          <a:chOff x="6810375" y="1504950"/>
          <a:chExt cx="4990476" cy="3257143"/>
        </a:xfrm>
      </xdr:grpSpPr>
      <xdr:pic>
        <xdr:nvPicPr>
          <xdr:cNvPr id="21" name="Imag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10375" y="1504950"/>
            <a:ext cx="4990476" cy="3257143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5" name="Rectangle à coins arrondis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7286625" y="4133850"/>
            <a:ext cx="2857500" cy="352425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114300</xdr:colOff>
      <xdr:row>1</xdr:row>
      <xdr:rowOff>28575</xdr:rowOff>
    </xdr:from>
    <xdr:to>
      <xdr:col>13</xdr:col>
      <xdr:colOff>733425</xdr:colOff>
      <xdr:row>5</xdr:row>
      <xdr:rowOff>57150</xdr:rowOff>
    </xdr:to>
    <xdr:sp macro="[0]!AfficherFormulaire" textlink="">
      <xdr:nvSpPr>
        <xdr:cNvPr id="17" name="Rectangle à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9991725" y="219075"/>
          <a:ext cx="1381125" cy="7905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Affiche</a:t>
          </a:r>
          <a:r>
            <a:rPr lang="fr-FR" sz="18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Formulaire </a:t>
          </a:r>
          <a:endParaRPr lang="fr-FR" sz="1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57149</xdr:rowOff>
    </xdr:from>
    <xdr:to>
      <xdr:col>15</xdr:col>
      <xdr:colOff>619125</xdr:colOff>
      <xdr:row>28</xdr:row>
      <xdr:rowOff>38100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771525" y="247649"/>
          <a:ext cx="11277600" cy="5124451"/>
          <a:chOff x="771525" y="247649"/>
          <a:chExt cx="11277600" cy="5124451"/>
        </a:xfrm>
      </xdr:grpSpPr>
      <xdr:sp macro="" textlink="">
        <xdr:nvSpPr>
          <xdr:cNvPr id="2" name="ZoneTexte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 txBox="1"/>
        </xdr:nvSpPr>
        <xdr:spPr>
          <a:xfrm>
            <a:off x="771525" y="247649"/>
            <a:ext cx="11277600" cy="5124451"/>
          </a:xfrm>
          <a:prstGeom prst="rect">
            <a:avLst/>
          </a:prstGeom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4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Présentation du déroulement de la construction</a:t>
            </a:r>
            <a:r>
              <a:rPr lang="fr-FR" sz="24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du Formulaire de Recherche Client</a:t>
            </a:r>
          </a:p>
          <a:p>
            <a:pPr algn="ctr"/>
            <a:endParaRPr lang="fr-FR" sz="1100" baseline="0"/>
          </a:p>
          <a:p>
            <a:pPr algn="ctr"/>
            <a:endParaRPr lang="fr-FR" sz="1100" baseline="0"/>
          </a:p>
          <a:p>
            <a:pPr algn="l"/>
            <a:r>
              <a:rPr lang="fr-FR" sz="2800" baseline="0"/>
              <a:t>1.  Utiliser les plages nommées dynamiques </a:t>
            </a:r>
          </a:p>
          <a:p>
            <a:pPr algn="l"/>
            <a:r>
              <a:rPr lang="fr-FR" sz="2800" baseline="0"/>
              <a:t>	</a:t>
            </a:r>
            <a:r>
              <a:rPr lang="fr-FR" sz="2800" b="1" baseline="0">
                <a:solidFill>
                  <a:srgbClr val="FF0000"/>
                </a:solidFill>
              </a:rPr>
              <a:t>=DECALER('Liste '!$C$5;1;0;NBVAL('Liste '!$C$6:$C$100))</a:t>
            </a:r>
          </a:p>
          <a:p>
            <a:pPr algn="l"/>
            <a:endParaRPr lang="fr-FR" sz="2800" baseline="0"/>
          </a:p>
          <a:p>
            <a:pPr algn="l"/>
            <a:r>
              <a:rPr lang="fr-FR" sz="2800" baseline="0"/>
              <a:t>2. Utiliser la commande Filtres Avancées d'Excel</a:t>
            </a:r>
          </a:p>
          <a:p>
            <a:pPr algn="l"/>
            <a:r>
              <a:rPr lang="fr-FR" sz="2800" baseline="0"/>
              <a:t>	</a:t>
            </a:r>
            <a:r>
              <a:rPr lang="fr-FR" sz="2800" b="1" baseline="0">
                <a:solidFill>
                  <a:srgbClr val="FF0000"/>
                </a:solidFill>
              </a:rPr>
              <a:t>Onglet Données / Trier et filtrer / Avancé  </a:t>
            </a:r>
          </a:p>
          <a:p>
            <a:pPr algn="l"/>
            <a:r>
              <a:rPr lang="fr-FR" sz="2800" baseline="0"/>
              <a:t>3. Réaliser des macros à partir de l'enregistreur de macro puis les affecterà des formes.</a:t>
            </a:r>
          </a:p>
          <a:p>
            <a:pPr algn="l"/>
            <a:r>
              <a:rPr lang="fr-FR" sz="2800" baseline="0"/>
              <a:t>	</a:t>
            </a:r>
          </a:p>
          <a:p>
            <a:pPr algn="l"/>
            <a:r>
              <a:rPr lang="fr-FR" sz="2800" baseline="0"/>
              <a:t>4. Créer un formulaire personnalisé puis générer le code associé.</a:t>
            </a:r>
          </a:p>
          <a:p>
            <a:pPr algn="l"/>
            <a:endParaRPr lang="fr-FR" sz="1100"/>
          </a:p>
        </xdr:txBody>
      </xdr:sp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1428751" y="1895475"/>
            <a:ext cx="10372724" cy="314325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800" b="1" i="0" u="none" strike="noStrike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=DECALER('Liste RH'!$P$2;0;0;NBVAL('Liste RH'!$P$2:$P$500);11)</a:t>
            </a:r>
            <a:endParaRPr lang="fr-FR" sz="2800">
              <a:solidFill>
                <a:srgbClr val="FF0000"/>
              </a:solidFill>
            </a:endParaRPr>
          </a:p>
        </xdr:txBody>
      </xdr:sp>
      <xdr:pic>
        <xdr:nvPicPr>
          <xdr:cNvPr id="4" name="Imag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20050" y="2857500"/>
            <a:ext cx="685714" cy="266667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171450</xdr:rowOff>
    </xdr:from>
    <xdr:to>
      <xdr:col>14</xdr:col>
      <xdr:colOff>579724</xdr:colOff>
      <xdr:row>53</xdr:row>
      <xdr:rowOff>18484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828675" y="171450"/>
          <a:ext cx="10419049" cy="9943534"/>
          <a:chOff x="828675" y="171450"/>
          <a:chExt cx="10419049" cy="9943534"/>
        </a:xfrm>
      </xdr:grpSpPr>
      <xdr:pic>
        <xdr:nvPicPr>
          <xdr:cNvPr id="2" name="Imag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38200" y="171450"/>
            <a:ext cx="10409524" cy="5380952"/>
          </a:xfrm>
          <a:prstGeom prst="rect">
            <a:avLst/>
          </a:prstGeom>
        </xdr:spPr>
      </xdr:pic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8675" y="5591175"/>
            <a:ext cx="10400000" cy="4523809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0cde573bc79669c/data_svm/BASE%20de%20Donn&#233;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ur"/>
      <sheetName val="Filtre"/>
      <sheetName val="FTEST"/>
      <sheetName val="SIGNATURE A"/>
      <sheetName val="SIGNATURE K"/>
      <sheetName val="SIGNATURE H"/>
      <sheetName val="SIGNATURE Q"/>
      <sheetName val="BASE de Données"/>
    </sheetNames>
    <definedNames>
      <definedName name="CalloutLin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RG" displayName="BaseRG" ref="A1:V100" totalsRowShown="0" headerRowDxfId="25" dataDxfId="23" headerRowBorderDxfId="24" tableBorderDxfId="22">
  <sortState ref="A2:V100">
    <sortCondition ref="A2:A100"/>
  </sortState>
  <tableColumns count="22">
    <tableColumn id="1" xr3:uid="{00000000-0010-0000-0000-000001000000}" name="Nbre" dataDxfId="21"/>
    <tableColumn id="2" xr3:uid="{00000000-0010-0000-0000-000002000000}" name="PROJET" dataDxfId="20"/>
    <tableColumn id="3" xr3:uid="{00000000-0010-0000-0000-000003000000}" name="DATE D'EXECUTION" dataDxfId="19"/>
    <tableColumn id="4" xr3:uid="{00000000-0010-0000-0000-000004000000}" name="Zone " dataDxfId="18"/>
    <tableColumn id="5" xr3:uid="{00000000-0010-0000-0000-000005000000}" name="District" dataDxfId="17"/>
    <tableColumn id="6" xr3:uid="{00000000-0010-0000-0000-000006000000}" name="Region " dataDxfId="16"/>
    <tableColumn id="7" xr3:uid="{00000000-0010-0000-0000-000007000000}" name="Departement" dataDxfId="15"/>
    <tableColumn id="8" xr3:uid="{00000000-0010-0000-0000-000008000000}" name="Village " dataDxfId="14"/>
    <tableColumn id="10" xr3:uid="{00000000-0010-0000-0000-00000A000000}" name="locality " dataDxfId="13"/>
    <tableColumn id="11" xr3:uid="{00000000-0010-0000-0000-00000B000000}" name="number of sounding" dataDxfId="12"/>
    <tableColumn id="12" xr3:uid="{00000000-0010-0000-0000-00000C000000}" name="VES drilled" dataDxfId="11"/>
    <tableColumn id="9" xr3:uid="{7F15B3F8-51D2-4BB9-BC1A-5E6A8FB230E8}" name="Alteration Theorique " dataDxfId="10"/>
    <tableColumn id="13" xr3:uid="{068310E6-E7F3-4868-8CF1-C77F57994DBA}" name="Theorical alteration in meter " dataDxfId="9"/>
    <tableColumn id="14" xr3:uid="{506074F1-9164-4B93-A085-9F57105B3B2C}" name="ERT profiles" dataDxfId="8"/>
    <tableColumn id="15" xr3:uid="{FA17F53C-157C-4818-9E28-A7290A6FA3B0}" name="VES type " dataDxfId="7"/>
    <tableColumn id="16" xr3:uid="{616FA36F-DEAF-4567-877B-2AE40E7E0AEE}" name="Borehole depth max " dataDxfId="6"/>
    <tableColumn id="17" xr3:uid="{325C8771-BC96-40EA-A5FA-3C8D88F0DAFA}" name="thickness of rocks " dataDxfId="5"/>
    <tableColumn id="18" xr3:uid="{2C195C24-D1BF-472D-8973-B7A6F0F13454}" name="flow rate  (m3/h)" dataDxfId="4"/>
    <tableColumn id="19" xr3:uid="{29D8E94A-2B4A-4133-8FF3-B59EDE9CE06A}" name="Level of water infloz (1; 2; 3; 4; 5)" dataDxfId="3"/>
    <tableColumn id="20" xr3:uid="{9A1EDD84-5110-490E-BCC3-1413035C0D41}" name="recommanded flow rate  (m3/h)" dataDxfId="2"/>
    <tableColumn id="21" xr3:uid="{57FB24E7-B5A7-456B-BE31-BA948BAA2452}" name="Drilling statutes" dataDxfId="1"/>
    <tableColumn id="22" xr3:uid="{6F9BCED2-A3F7-4AAD-A34A-FAE2554120BD}" name="Geolog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A156"/>
  <sheetViews>
    <sheetView showGridLines="0" tabSelected="1" topLeftCell="G10" zoomScale="85" zoomScaleNormal="85" workbookViewId="0">
      <selection activeCell="BA20" sqref="BA20"/>
    </sheetView>
  </sheetViews>
  <sheetFormatPr defaultColWidth="11" defaultRowHeight="15" x14ac:dyDescent="0.25"/>
  <cols>
    <col min="1" max="1" width="7" style="103" customWidth="1"/>
    <col min="2" max="2" width="19.5703125" style="104" customWidth="1"/>
    <col min="3" max="3" width="16.42578125" style="104" customWidth="1"/>
    <col min="4" max="4" width="16.7109375" style="42" customWidth="1"/>
    <col min="5" max="5" width="18.42578125" style="101" customWidth="1"/>
    <col min="6" max="6" width="15.85546875" style="100" customWidth="1"/>
    <col min="7" max="7" width="17.28515625" style="101" customWidth="1"/>
    <col min="8" max="8" width="20.140625" style="100" customWidth="1"/>
    <col min="9" max="9" width="18" style="42" customWidth="1"/>
    <col min="10" max="10" width="8.7109375" style="42" customWidth="1"/>
    <col min="11" max="11" width="13.28515625" style="42" customWidth="1"/>
    <col min="12" max="12" width="11.28515625" style="42" customWidth="1"/>
    <col min="13" max="13" width="10.7109375" style="42" customWidth="1"/>
    <col min="14" max="14" width="10" style="42" customWidth="1"/>
    <col min="15" max="15" width="10.42578125" style="42" customWidth="1"/>
    <col min="16" max="16" width="9.42578125" style="42" customWidth="1"/>
    <col min="17" max="17" width="10.7109375" style="42" customWidth="1"/>
    <col min="18" max="18" width="7.85546875" style="42" customWidth="1"/>
    <col min="19" max="19" width="12.85546875" style="42" customWidth="1"/>
    <col min="20" max="20" width="9.28515625" style="42" customWidth="1"/>
    <col min="21" max="21" width="11" style="42" customWidth="1"/>
    <col min="22" max="22" width="13.42578125" style="42" customWidth="1"/>
    <col min="23" max="23" width="5.28515625" style="41" customWidth="1"/>
    <col min="24" max="24" width="5" style="42" customWidth="1"/>
    <col min="25" max="25" width="11" style="42" hidden="1" customWidth="1"/>
    <col min="26" max="26" width="5.28515625" style="42" hidden="1" customWidth="1"/>
    <col min="27" max="27" width="4.85546875" style="100" hidden="1" customWidth="1"/>
    <col min="28" max="28" width="11" style="42" hidden="1" customWidth="1"/>
    <col min="29" max="29" width="8.85546875" style="42" hidden="1" customWidth="1"/>
    <col min="30" max="30" width="6.5703125" style="42" hidden="1" customWidth="1"/>
    <col min="31" max="31" width="9.28515625" style="101" hidden="1" customWidth="1"/>
    <col min="32" max="32" width="11" style="42" hidden="1" customWidth="1"/>
    <col min="33" max="33" width="11.140625" style="101" hidden="1" customWidth="1"/>
    <col min="34" max="34" width="11" style="42" hidden="1" customWidth="1"/>
    <col min="35" max="35" width="9.42578125" style="42" hidden="1" customWidth="1"/>
    <col min="36" max="36" width="7.42578125" style="42" hidden="1" customWidth="1"/>
    <col min="37" max="37" width="3.42578125" style="105" hidden="1" customWidth="1"/>
    <col min="38" max="38" width="3.42578125" style="42" hidden="1" customWidth="1"/>
    <col min="39" max="39" width="2.85546875" style="42" hidden="1" customWidth="1"/>
    <col min="40" max="40" width="3.140625" style="42" hidden="1" customWidth="1"/>
    <col min="41" max="41" width="1.85546875" style="42" hidden="1" customWidth="1"/>
    <col min="42" max="42" width="2.85546875" style="42" hidden="1" customWidth="1"/>
    <col min="43" max="43" width="2.140625" style="42" hidden="1" customWidth="1"/>
    <col min="44" max="44" width="5.140625" style="42" hidden="1" customWidth="1"/>
    <col min="45" max="45" width="8.42578125" style="42" hidden="1" customWidth="1"/>
    <col min="46" max="46" width="3.42578125" style="42" hidden="1" customWidth="1"/>
    <col min="47" max="47" width="1.85546875" style="42" hidden="1" customWidth="1"/>
    <col min="48" max="48" width="2" style="42" hidden="1" customWidth="1"/>
    <col min="49" max="49" width="3.85546875" style="42" hidden="1" customWidth="1"/>
    <col min="50" max="16384" width="11" style="42"/>
  </cols>
  <sheetData>
    <row r="1" spans="1:53" s="27" customFormat="1" ht="22.5" customHeight="1" x14ac:dyDescent="0.25">
      <c r="A1" s="18" t="s">
        <v>195</v>
      </c>
      <c r="B1" s="19" t="s">
        <v>196</v>
      </c>
      <c r="C1" s="20" t="s">
        <v>197</v>
      </c>
      <c r="D1" s="21" t="s">
        <v>198</v>
      </c>
      <c r="E1" s="22" t="s">
        <v>199</v>
      </c>
      <c r="F1" s="22" t="s">
        <v>200</v>
      </c>
      <c r="G1" s="22" t="s">
        <v>201</v>
      </c>
      <c r="H1" s="22" t="s">
        <v>202</v>
      </c>
      <c r="I1" s="22" t="s">
        <v>590</v>
      </c>
      <c r="J1" s="23" t="s">
        <v>591</v>
      </c>
      <c r="K1" s="24" t="s">
        <v>592</v>
      </c>
      <c r="L1" s="24" t="s">
        <v>206</v>
      </c>
      <c r="M1" s="24" t="s">
        <v>593</v>
      </c>
      <c r="N1" s="25" t="s">
        <v>594</v>
      </c>
      <c r="O1" s="25" t="s">
        <v>595</v>
      </c>
      <c r="P1" s="24" t="s">
        <v>596</v>
      </c>
      <c r="Q1" s="24" t="s">
        <v>597</v>
      </c>
      <c r="R1" s="24" t="s">
        <v>598</v>
      </c>
      <c r="S1" s="24" t="s">
        <v>599</v>
      </c>
      <c r="T1" s="24" t="s">
        <v>600</v>
      </c>
      <c r="U1" s="24" t="s">
        <v>601</v>
      </c>
      <c r="V1" s="24" t="s">
        <v>602</v>
      </c>
      <c r="W1" s="26"/>
      <c r="Y1" s="28" t="s">
        <v>196</v>
      </c>
      <c r="Z1" s="29"/>
      <c r="AA1" s="30" t="s">
        <v>195</v>
      </c>
      <c r="AB1" s="31" t="s">
        <v>196</v>
      </c>
      <c r="AC1" s="32" t="s">
        <v>197</v>
      </c>
      <c r="AD1" s="33" t="s">
        <v>198</v>
      </c>
      <c r="AE1" s="34" t="s">
        <v>199</v>
      </c>
      <c r="AF1" s="34" t="s">
        <v>200</v>
      </c>
      <c r="AG1" s="34" t="s">
        <v>201</v>
      </c>
      <c r="AH1" s="34" t="s">
        <v>202</v>
      </c>
      <c r="AI1" s="34" t="s">
        <v>203</v>
      </c>
      <c r="AJ1" s="34" t="s">
        <v>204</v>
      </c>
      <c r="AK1" s="34" t="s">
        <v>205</v>
      </c>
      <c r="AL1" s="34" t="s">
        <v>206</v>
      </c>
      <c r="AM1" s="34" t="s">
        <v>207</v>
      </c>
      <c r="AN1" s="34" t="s">
        <v>560</v>
      </c>
      <c r="AO1" s="34" t="s">
        <v>208</v>
      </c>
      <c r="AP1" s="34" t="s">
        <v>209</v>
      </c>
      <c r="AQ1" s="34" t="s">
        <v>559</v>
      </c>
      <c r="AR1" s="34" t="s">
        <v>210</v>
      </c>
      <c r="AS1" s="34" t="s">
        <v>211</v>
      </c>
      <c r="AT1" s="34" t="s">
        <v>212</v>
      </c>
      <c r="AU1" s="34" t="s">
        <v>213</v>
      </c>
      <c r="AV1" s="34" t="s">
        <v>214</v>
      </c>
      <c r="AW1" s="29"/>
      <c r="AX1" s="29"/>
      <c r="AY1" s="29"/>
      <c r="AZ1" s="29"/>
      <c r="BA1" s="29"/>
    </row>
    <row r="2" spans="1:53" ht="16.5" x14ac:dyDescent="0.25">
      <c r="A2" s="35">
        <v>1</v>
      </c>
      <c r="B2" s="36" t="s">
        <v>215</v>
      </c>
      <c r="C2" s="37">
        <v>42598</v>
      </c>
      <c r="D2" s="38" t="s">
        <v>216</v>
      </c>
      <c r="E2" s="38" t="s">
        <v>217</v>
      </c>
      <c r="F2" s="38" t="s">
        <v>218</v>
      </c>
      <c r="G2" s="38" t="s">
        <v>219</v>
      </c>
      <c r="H2" s="38" t="s">
        <v>220</v>
      </c>
      <c r="I2" s="38" t="s">
        <v>221</v>
      </c>
      <c r="J2" s="38">
        <v>2</v>
      </c>
      <c r="K2" s="36" t="s">
        <v>222</v>
      </c>
      <c r="L2" s="36">
        <v>55</v>
      </c>
      <c r="M2" s="36">
        <v>45</v>
      </c>
      <c r="N2" s="36"/>
      <c r="O2" s="39" t="s">
        <v>223</v>
      </c>
      <c r="P2" s="36">
        <v>60</v>
      </c>
      <c r="Q2" s="36">
        <f>P2-M2</f>
        <v>15</v>
      </c>
      <c r="R2" s="36">
        <v>2</v>
      </c>
      <c r="S2" s="36" t="s">
        <v>224</v>
      </c>
      <c r="T2" s="36">
        <v>1</v>
      </c>
      <c r="U2" s="36" t="str">
        <f>IF(R2&gt;=T2,"Positif","Negatif")</f>
        <v>Positif</v>
      </c>
      <c r="V2" s="40"/>
      <c r="Y2" s="43" t="s">
        <v>589</v>
      </c>
      <c r="Z2" s="44"/>
      <c r="AA2" s="45">
        <v>44</v>
      </c>
      <c r="AB2" s="38" t="s">
        <v>588</v>
      </c>
      <c r="AC2" s="51">
        <v>42606</v>
      </c>
      <c r="AD2" s="38" t="s">
        <v>298</v>
      </c>
      <c r="AE2" s="38" t="s">
        <v>299</v>
      </c>
      <c r="AF2" s="38" t="s">
        <v>398</v>
      </c>
      <c r="AG2" s="38" t="s">
        <v>399</v>
      </c>
      <c r="AH2" s="38" t="s">
        <v>400</v>
      </c>
      <c r="AI2" s="38" t="s">
        <v>401</v>
      </c>
      <c r="AJ2" s="38">
        <v>3</v>
      </c>
      <c r="AK2" s="38" t="s">
        <v>256</v>
      </c>
      <c r="AL2" s="38">
        <v>45</v>
      </c>
      <c r="AM2" s="38">
        <v>30.34</v>
      </c>
      <c r="AN2" s="38"/>
      <c r="AO2" s="46" t="s">
        <v>402</v>
      </c>
      <c r="AP2" s="38">
        <v>72.87</v>
      </c>
      <c r="AQ2" s="38">
        <v>42.53</v>
      </c>
      <c r="AR2" s="38">
        <v>18</v>
      </c>
      <c r="AS2" s="38"/>
      <c r="AT2" s="38">
        <v>1</v>
      </c>
      <c r="AU2" s="38" t="s">
        <v>286</v>
      </c>
      <c r="AV2" s="47"/>
      <c r="AW2" s="44"/>
      <c r="AX2" s="44"/>
      <c r="AY2" s="44"/>
      <c r="AZ2" s="44"/>
      <c r="BA2" s="44"/>
    </row>
    <row r="3" spans="1:53" ht="16.5" x14ac:dyDescent="0.25">
      <c r="A3" s="45">
        <v>2</v>
      </c>
      <c r="B3" s="36" t="s">
        <v>215</v>
      </c>
      <c r="C3" s="37">
        <v>42601</v>
      </c>
      <c r="D3" s="38" t="s">
        <v>216</v>
      </c>
      <c r="E3" s="38" t="s">
        <v>217</v>
      </c>
      <c r="F3" s="38" t="s">
        <v>218</v>
      </c>
      <c r="G3" s="38" t="s">
        <v>219</v>
      </c>
      <c r="H3" s="38" t="s">
        <v>225</v>
      </c>
      <c r="I3" s="38" t="s">
        <v>226</v>
      </c>
      <c r="J3" s="38">
        <v>3</v>
      </c>
      <c r="K3" s="38" t="s">
        <v>222</v>
      </c>
      <c r="L3" s="38">
        <v>45</v>
      </c>
      <c r="M3" s="38">
        <v>29.8</v>
      </c>
      <c r="N3" s="38"/>
      <c r="O3" s="46" t="s">
        <v>227</v>
      </c>
      <c r="P3" s="38">
        <v>82</v>
      </c>
      <c r="Q3" s="38">
        <f>P3-M3</f>
        <v>52.2</v>
      </c>
      <c r="R3" s="38">
        <v>1.5</v>
      </c>
      <c r="S3" s="38" t="s">
        <v>224</v>
      </c>
      <c r="T3" s="38">
        <v>1</v>
      </c>
      <c r="U3" s="38" t="str">
        <f>IF(R3&gt;=T3,"Positif","Negatif")</f>
        <v>Positif</v>
      </c>
      <c r="V3" s="47"/>
      <c r="Y3" s="44"/>
      <c r="Z3" s="44"/>
      <c r="AA3" s="45">
        <v>45</v>
      </c>
      <c r="AB3" s="38" t="s">
        <v>588</v>
      </c>
      <c r="AC3" s="51">
        <v>42608</v>
      </c>
      <c r="AD3" s="38" t="s">
        <v>298</v>
      </c>
      <c r="AE3" s="38" t="s">
        <v>299</v>
      </c>
      <c r="AF3" s="38" t="s">
        <v>398</v>
      </c>
      <c r="AG3" s="38" t="s">
        <v>399</v>
      </c>
      <c r="AH3" s="38" t="s">
        <v>403</v>
      </c>
      <c r="AI3" s="38" t="s">
        <v>404</v>
      </c>
      <c r="AJ3" s="38">
        <v>3</v>
      </c>
      <c r="AK3" s="38" t="s">
        <v>222</v>
      </c>
      <c r="AL3" s="38">
        <v>45</v>
      </c>
      <c r="AM3" s="38"/>
      <c r="AN3" s="38"/>
      <c r="AO3" s="65" t="s">
        <v>405</v>
      </c>
      <c r="AP3" s="38">
        <v>0</v>
      </c>
      <c r="AQ3" s="38"/>
      <c r="AR3" s="38"/>
      <c r="AS3" s="38"/>
      <c r="AT3" s="38">
        <v>1</v>
      </c>
      <c r="AU3" s="38"/>
      <c r="AV3" s="47"/>
      <c r="AW3" s="44"/>
      <c r="AX3" s="44"/>
      <c r="AY3" s="44"/>
      <c r="AZ3" s="44"/>
      <c r="BA3" s="44"/>
    </row>
    <row r="4" spans="1:53" ht="16.5" x14ac:dyDescent="0.25">
      <c r="A4" s="35">
        <v>3</v>
      </c>
      <c r="B4" s="36" t="s">
        <v>215</v>
      </c>
      <c r="C4" s="37">
        <v>42602</v>
      </c>
      <c r="D4" s="38" t="s">
        <v>216</v>
      </c>
      <c r="E4" s="38" t="s">
        <v>217</v>
      </c>
      <c r="F4" s="38" t="s">
        <v>218</v>
      </c>
      <c r="G4" s="38" t="s">
        <v>219</v>
      </c>
      <c r="H4" s="38" t="s">
        <v>228</v>
      </c>
      <c r="I4" s="38" t="s">
        <v>229</v>
      </c>
      <c r="J4" s="38">
        <v>3</v>
      </c>
      <c r="K4" s="38" t="s">
        <v>222</v>
      </c>
      <c r="L4" s="38">
        <v>45</v>
      </c>
      <c r="M4" s="38">
        <v>13</v>
      </c>
      <c r="N4" s="38"/>
      <c r="O4" s="46" t="s">
        <v>230</v>
      </c>
      <c r="P4" s="38">
        <v>72</v>
      </c>
      <c r="Q4" s="38">
        <f>P4-M4</f>
        <v>59</v>
      </c>
      <c r="R4" s="38">
        <v>1</v>
      </c>
      <c r="S4" s="38" t="s">
        <v>224</v>
      </c>
      <c r="T4" s="38">
        <v>1</v>
      </c>
      <c r="U4" s="38" t="str">
        <f>IF(R4&gt;=T4,"Positif","Negatif")</f>
        <v>Positif</v>
      </c>
      <c r="V4" s="47"/>
      <c r="Y4" s="44"/>
      <c r="Z4" s="44"/>
      <c r="AA4" s="45">
        <v>46</v>
      </c>
      <c r="AB4" s="38" t="s">
        <v>588</v>
      </c>
      <c r="AC4" s="51">
        <v>42610</v>
      </c>
      <c r="AD4" s="38" t="s">
        <v>298</v>
      </c>
      <c r="AE4" s="38" t="s">
        <v>299</v>
      </c>
      <c r="AF4" s="38" t="s">
        <v>300</v>
      </c>
      <c r="AG4" s="38" t="s">
        <v>301</v>
      </c>
      <c r="AH4" s="38" t="s">
        <v>406</v>
      </c>
      <c r="AI4" s="38" t="s">
        <v>407</v>
      </c>
      <c r="AJ4" s="38">
        <v>3</v>
      </c>
      <c r="AK4" s="38" t="s">
        <v>222</v>
      </c>
      <c r="AL4" s="38">
        <v>50</v>
      </c>
      <c r="AM4" s="38">
        <v>27.89</v>
      </c>
      <c r="AN4" s="38"/>
      <c r="AO4" s="46" t="s">
        <v>578</v>
      </c>
      <c r="AP4" s="38">
        <v>87.81</v>
      </c>
      <c r="AQ4" s="38">
        <v>59.92</v>
      </c>
      <c r="AR4" s="38">
        <v>2.5</v>
      </c>
      <c r="AS4" s="38"/>
      <c r="AT4" s="38">
        <v>1</v>
      </c>
      <c r="AU4" s="38" t="s">
        <v>286</v>
      </c>
      <c r="AV4" s="47"/>
      <c r="AW4" s="44"/>
      <c r="AX4" s="44"/>
      <c r="AY4" s="44"/>
      <c r="AZ4" s="44"/>
      <c r="BA4" s="44"/>
    </row>
    <row r="5" spans="1:53" ht="16.5" x14ac:dyDescent="0.25">
      <c r="A5" s="45">
        <v>4</v>
      </c>
      <c r="B5" s="36" t="s">
        <v>215</v>
      </c>
      <c r="C5" s="37">
        <v>42603</v>
      </c>
      <c r="D5" s="38" t="s">
        <v>216</v>
      </c>
      <c r="E5" s="38" t="s">
        <v>217</v>
      </c>
      <c r="F5" s="38" t="s">
        <v>218</v>
      </c>
      <c r="G5" s="38" t="s">
        <v>231</v>
      </c>
      <c r="H5" s="38" t="s">
        <v>232</v>
      </c>
      <c r="I5" s="38" t="s">
        <v>233</v>
      </c>
      <c r="J5" s="38">
        <v>3</v>
      </c>
      <c r="K5" s="38" t="s">
        <v>222</v>
      </c>
      <c r="L5" s="38">
        <v>40</v>
      </c>
      <c r="M5" s="38">
        <v>43</v>
      </c>
      <c r="N5" s="38"/>
      <c r="O5" s="46" t="s">
        <v>563</v>
      </c>
      <c r="P5" s="38">
        <v>70</v>
      </c>
      <c r="Q5" s="38">
        <f>P5-M5</f>
        <v>27</v>
      </c>
      <c r="R5" s="38">
        <v>1</v>
      </c>
      <c r="S5" s="38" t="s">
        <v>224</v>
      </c>
      <c r="T5" s="38">
        <v>1</v>
      </c>
      <c r="U5" s="38" t="str">
        <f>IF(R5&gt;=T5,"Positif","Negatif")</f>
        <v>Positif</v>
      </c>
      <c r="V5" s="47"/>
      <c r="Y5" s="44"/>
      <c r="Z5" s="44"/>
      <c r="AA5" s="45">
        <v>47</v>
      </c>
      <c r="AB5" s="38" t="s">
        <v>588</v>
      </c>
      <c r="AC5" s="51">
        <v>42611</v>
      </c>
      <c r="AD5" s="38" t="s">
        <v>298</v>
      </c>
      <c r="AE5" s="38" t="s">
        <v>299</v>
      </c>
      <c r="AF5" s="38" t="s">
        <v>300</v>
      </c>
      <c r="AG5" s="38" t="s">
        <v>301</v>
      </c>
      <c r="AH5" s="38" t="s">
        <v>408</v>
      </c>
      <c r="AI5" s="38" t="s">
        <v>409</v>
      </c>
      <c r="AJ5" s="38">
        <v>3</v>
      </c>
      <c r="AK5" s="38" t="s">
        <v>222</v>
      </c>
      <c r="AL5" s="38">
        <v>45</v>
      </c>
      <c r="AM5" s="38">
        <v>20.8</v>
      </c>
      <c r="AN5" s="38"/>
      <c r="AO5" s="46" t="s">
        <v>240</v>
      </c>
      <c r="AP5" s="38">
        <v>81.239999999999995</v>
      </c>
      <c r="AQ5" s="38">
        <v>60.44</v>
      </c>
      <c r="AR5" s="38">
        <v>1</v>
      </c>
      <c r="AS5" s="38"/>
      <c r="AT5" s="38">
        <v>1</v>
      </c>
      <c r="AU5" s="38" t="s">
        <v>286</v>
      </c>
      <c r="AV5" s="47"/>
      <c r="AW5" s="44"/>
      <c r="AX5" s="44"/>
      <c r="AY5" s="44"/>
      <c r="AZ5" s="44"/>
      <c r="BA5" s="44"/>
    </row>
    <row r="6" spans="1:53" ht="16.5" x14ac:dyDescent="0.25">
      <c r="A6" s="35">
        <v>5</v>
      </c>
      <c r="B6" s="36" t="s">
        <v>215</v>
      </c>
      <c r="C6" s="37">
        <v>42605</v>
      </c>
      <c r="D6" s="38" t="s">
        <v>216</v>
      </c>
      <c r="E6" s="38" t="s">
        <v>217</v>
      </c>
      <c r="F6" s="38" t="s">
        <v>218</v>
      </c>
      <c r="G6" s="38" t="s">
        <v>231</v>
      </c>
      <c r="H6" s="38" t="s">
        <v>234</v>
      </c>
      <c r="I6" s="38" t="s">
        <v>235</v>
      </c>
      <c r="J6" s="38">
        <v>3</v>
      </c>
      <c r="K6" s="38" t="s">
        <v>222</v>
      </c>
      <c r="L6" s="38">
        <v>55</v>
      </c>
      <c r="M6" s="38" t="s">
        <v>224</v>
      </c>
      <c r="N6" s="38"/>
      <c r="O6" s="48" t="s">
        <v>236</v>
      </c>
      <c r="P6" s="38" t="s">
        <v>224</v>
      </c>
      <c r="Q6" s="38" t="s">
        <v>224</v>
      </c>
      <c r="R6" s="38">
        <v>3</v>
      </c>
      <c r="S6" s="38" t="s">
        <v>224</v>
      </c>
      <c r="T6" s="38" t="s">
        <v>224</v>
      </c>
      <c r="U6" s="38" t="s">
        <v>224</v>
      </c>
      <c r="V6" s="47"/>
      <c r="Y6" s="44"/>
      <c r="Z6" s="44"/>
      <c r="AA6" s="45">
        <v>48</v>
      </c>
      <c r="AB6" s="38" t="s">
        <v>588</v>
      </c>
      <c r="AC6" s="51">
        <v>42612</v>
      </c>
      <c r="AD6" s="38" t="s">
        <v>298</v>
      </c>
      <c r="AE6" s="38" t="s">
        <v>299</v>
      </c>
      <c r="AF6" s="38" t="s">
        <v>398</v>
      </c>
      <c r="AG6" s="38" t="s">
        <v>410</v>
      </c>
      <c r="AH6" s="38" t="s">
        <v>411</v>
      </c>
      <c r="AI6" s="38" t="s">
        <v>412</v>
      </c>
      <c r="AJ6" s="38">
        <v>3</v>
      </c>
      <c r="AK6" s="38" t="s">
        <v>222</v>
      </c>
      <c r="AL6" s="38">
        <v>55</v>
      </c>
      <c r="AM6" s="38">
        <v>38.64</v>
      </c>
      <c r="AN6" s="38"/>
      <c r="AO6" s="46" t="s">
        <v>413</v>
      </c>
      <c r="AP6" s="38">
        <v>86.92</v>
      </c>
      <c r="AQ6" s="38">
        <v>48.28</v>
      </c>
      <c r="AR6" s="38">
        <v>6</v>
      </c>
      <c r="AS6" s="38"/>
      <c r="AT6" s="38">
        <v>1</v>
      </c>
      <c r="AU6" s="38" t="s">
        <v>286</v>
      </c>
      <c r="AV6" s="47"/>
      <c r="AW6" s="44"/>
      <c r="AX6" s="44"/>
      <c r="AY6" s="44"/>
      <c r="AZ6" s="44"/>
      <c r="BA6" s="44"/>
    </row>
    <row r="7" spans="1:53" ht="16.5" x14ac:dyDescent="0.25">
      <c r="A7" s="45">
        <v>6</v>
      </c>
      <c r="B7" s="36" t="s">
        <v>215</v>
      </c>
      <c r="C7" s="37">
        <v>42606</v>
      </c>
      <c r="D7" s="38" t="s">
        <v>216</v>
      </c>
      <c r="E7" s="38" t="s">
        <v>217</v>
      </c>
      <c r="F7" s="38" t="s">
        <v>218</v>
      </c>
      <c r="G7" s="38" t="s">
        <v>237</v>
      </c>
      <c r="H7" s="38" t="s">
        <v>238</v>
      </c>
      <c r="I7" s="38" t="s">
        <v>239</v>
      </c>
      <c r="J7" s="38">
        <v>3</v>
      </c>
      <c r="K7" s="38" t="s">
        <v>222</v>
      </c>
      <c r="L7" s="38">
        <v>40</v>
      </c>
      <c r="M7" s="38">
        <v>36</v>
      </c>
      <c r="N7" s="38"/>
      <c r="O7" s="46" t="s">
        <v>240</v>
      </c>
      <c r="P7" s="38">
        <v>84</v>
      </c>
      <c r="Q7" s="38">
        <f t="shared" ref="Q7:Q12" si="0">P7-M7</f>
        <v>48</v>
      </c>
      <c r="R7" s="38">
        <v>1.5</v>
      </c>
      <c r="S7" s="38" t="s">
        <v>224</v>
      </c>
      <c r="T7" s="38">
        <v>1</v>
      </c>
      <c r="U7" s="38" t="str">
        <f>IF(R7&gt;=T7,"Positif","Negatif")</f>
        <v>Positif</v>
      </c>
      <c r="V7" s="47"/>
      <c r="Y7" s="44"/>
      <c r="Z7" s="44"/>
      <c r="AA7" s="45">
        <v>49</v>
      </c>
      <c r="AB7" s="38" t="s">
        <v>588</v>
      </c>
      <c r="AC7" s="51">
        <v>42613</v>
      </c>
      <c r="AD7" s="38" t="s">
        <v>298</v>
      </c>
      <c r="AE7" s="38" t="s">
        <v>299</v>
      </c>
      <c r="AF7" s="38" t="s">
        <v>398</v>
      </c>
      <c r="AG7" s="38" t="s">
        <v>410</v>
      </c>
      <c r="AH7" s="38" t="s">
        <v>414</v>
      </c>
      <c r="AI7" s="38" t="s">
        <v>415</v>
      </c>
      <c r="AJ7" s="38">
        <v>3</v>
      </c>
      <c r="AK7" s="38" t="s">
        <v>222</v>
      </c>
      <c r="AL7" s="38">
        <v>60</v>
      </c>
      <c r="AM7" s="38">
        <v>27.41</v>
      </c>
      <c r="AN7" s="38"/>
      <c r="AO7" s="46" t="s">
        <v>416</v>
      </c>
      <c r="AP7" s="38">
        <v>77.790000000000006</v>
      </c>
      <c r="AQ7" s="38">
        <v>50.38</v>
      </c>
      <c r="AR7" s="38">
        <v>1</v>
      </c>
      <c r="AS7" s="38"/>
      <c r="AT7" s="38">
        <v>1</v>
      </c>
      <c r="AU7" s="38" t="s">
        <v>286</v>
      </c>
      <c r="AV7" s="47"/>
      <c r="AW7" s="44"/>
      <c r="AX7" s="44"/>
      <c r="AY7" s="44"/>
      <c r="AZ7" s="44"/>
      <c r="BA7" s="44"/>
    </row>
    <row r="8" spans="1:53" ht="16.5" x14ac:dyDescent="0.25">
      <c r="A8" s="45">
        <v>7</v>
      </c>
      <c r="B8" s="38" t="s">
        <v>241</v>
      </c>
      <c r="C8" s="37">
        <v>42510</v>
      </c>
      <c r="D8" s="38" t="s">
        <v>242</v>
      </c>
      <c r="E8" s="38" t="s">
        <v>243</v>
      </c>
      <c r="F8" s="49" t="s">
        <v>244</v>
      </c>
      <c r="G8" s="38" t="s">
        <v>245</v>
      </c>
      <c r="H8" s="38" t="s">
        <v>246</v>
      </c>
      <c r="I8" s="38" t="s">
        <v>247</v>
      </c>
      <c r="J8" s="38">
        <v>3</v>
      </c>
      <c r="K8" s="38" t="s">
        <v>248</v>
      </c>
      <c r="L8" s="38">
        <v>18</v>
      </c>
      <c r="M8" s="38">
        <v>40</v>
      </c>
      <c r="N8" s="38"/>
      <c r="O8" s="46" t="s">
        <v>227</v>
      </c>
      <c r="P8" s="38">
        <v>80</v>
      </c>
      <c r="Q8" s="38">
        <f t="shared" si="0"/>
        <v>40</v>
      </c>
      <c r="R8" s="38">
        <v>0.1</v>
      </c>
      <c r="S8" s="38" t="s">
        <v>249</v>
      </c>
      <c r="T8" s="38">
        <v>1</v>
      </c>
      <c r="U8" s="50" t="str">
        <f>IF(R8&gt;=T8,"Positif","Negatif")</f>
        <v>Negatif</v>
      </c>
      <c r="V8" s="47"/>
      <c r="Y8" s="44"/>
      <c r="Z8" s="44"/>
      <c r="AA8" s="45">
        <v>50</v>
      </c>
      <c r="AB8" s="38" t="s">
        <v>588</v>
      </c>
      <c r="AC8" s="51">
        <v>42614</v>
      </c>
      <c r="AD8" s="38" t="s">
        <v>298</v>
      </c>
      <c r="AE8" s="38" t="s">
        <v>299</v>
      </c>
      <c r="AF8" s="38" t="s">
        <v>398</v>
      </c>
      <c r="AG8" s="38" t="s">
        <v>399</v>
      </c>
      <c r="AH8" s="38" t="s">
        <v>417</v>
      </c>
      <c r="AI8" s="38" t="s">
        <v>418</v>
      </c>
      <c r="AJ8" s="38">
        <v>3</v>
      </c>
      <c r="AK8" s="38" t="s">
        <v>222</v>
      </c>
      <c r="AL8" s="38">
        <v>60</v>
      </c>
      <c r="AM8" s="38">
        <v>12.43</v>
      </c>
      <c r="AN8" s="38"/>
      <c r="AO8" s="46" t="s">
        <v>227</v>
      </c>
      <c r="AP8" s="38">
        <v>72.789999999999992</v>
      </c>
      <c r="AQ8" s="38">
        <v>60.36</v>
      </c>
      <c r="AR8" s="38">
        <v>2</v>
      </c>
      <c r="AS8" s="38"/>
      <c r="AT8" s="38">
        <v>1</v>
      </c>
      <c r="AU8" s="38" t="s">
        <v>286</v>
      </c>
      <c r="AV8" s="47"/>
      <c r="AW8" s="44"/>
      <c r="AX8" s="44"/>
      <c r="AY8" s="44"/>
      <c r="AZ8" s="44"/>
      <c r="BA8" s="44"/>
    </row>
    <row r="9" spans="1:53" ht="16.5" x14ac:dyDescent="0.25">
      <c r="A9" s="45">
        <v>8</v>
      </c>
      <c r="B9" s="38" t="s">
        <v>241</v>
      </c>
      <c r="C9" s="37">
        <v>42512</v>
      </c>
      <c r="D9" s="38" t="s">
        <v>250</v>
      </c>
      <c r="E9" s="38" t="s">
        <v>251</v>
      </c>
      <c r="F9" s="38" t="s">
        <v>252</v>
      </c>
      <c r="G9" s="38" t="s">
        <v>253</v>
      </c>
      <c r="H9" s="38" t="s">
        <v>254</v>
      </c>
      <c r="I9" s="38" t="s">
        <v>255</v>
      </c>
      <c r="J9" s="38">
        <v>3</v>
      </c>
      <c r="K9" s="38" t="s">
        <v>256</v>
      </c>
      <c r="L9" s="38">
        <v>30</v>
      </c>
      <c r="M9" s="38">
        <v>18</v>
      </c>
      <c r="N9" s="38"/>
      <c r="O9" s="46" t="s">
        <v>257</v>
      </c>
      <c r="P9" s="38">
        <v>40</v>
      </c>
      <c r="Q9" s="38">
        <f t="shared" si="0"/>
        <v>22</v>
      </c>
      <c r="R9" s="38">
        <v>3</v>
      </c>
      <c r="S9" s="38" t="s">
        <v>224</v>
      </c>
      <c r="T9" s="38">
        <v>1</v>
      </c>
      <c r="U9" s="38" t="str">
        <f>IF(R9&gt;=T9,"Positif","Negatif")</f>
        <v>Positif</v>
      </c>
      <c r="V9" s="47"/>
      <c r="Y9" s="44"/>
      <c r="Z9" s="44"/>
      <c r="AA9" s="45">
        <v>51</v>
      </c>
      <c r="AB9" s="38" t="s">
        <v>588</v>
      </c>
      <c r="AC9" s="51">
        <v>42616</v>
      </c>
      <c r="AD9" s="38" t="s">
        <v>298</v>
      </c>
      <c r="AE9" s="38" t="s">
        <v>299</v>
      </c>
      <c r="AF9" s="38" t="s">
        <v>398</v>
      </c>
      <c r="AG9" s="38" t="s">
        <v>410</v>
      </c>
      <c r="AH9" s="38" t="s">
        <v>411</v>
      </c>
      <c r="AI9" s="38" t="s">
        <v>419</v>
      </c>
      <c r="AJ9" s="38">
        <v>3</v>
      </c>
      <c r="AK9" s="38" t="s">
        <v>222</v>
      </c>
      <c r="AL9" s="38">
        <v>40</v>
      </c>
      <c r="AM9" s="38">
        <v>35.840000000000003</v>
      </c>
      <c r="AN9" s="38"/>
      <c r="AO9" s="46" t="s">
        <v>579</v>
      </c>
      <c r="AP9" s="38">
        <v>82.34</v>
      </c>
      <c r="AQ9" s="38">
        <v>46.5</v>
      </c>
      <c r="AR9" s="38">
        <v>3</v>
      </c>
      <c r="AS9" s="38"/>
      <c r="AT9" s="38">
        <v>1</v>
      </c>
      <c r="AU9" s="38" t="s">
        <v>286</v>
      </c>
      <c r="AV9" s="47"/>
      <c r="AW9" s="44"/>
      <c r="AX9" s="44"/>
      <c r="AY9" s="44"/>
      <c r="AZ9" s="44"/>
      <c r="BA9" s="44"/>
    </row>
    <row r="10" spans="1:53" ht="16.5" x14ac:dyDescent="0.25">
      <c r="A10" s="45">
        <v>9</v>
      </c>
      <c r="B10" s="38" t="s">
        <v>241</v>
      </c>
      <c r="C10" s="37">
        <v>42514</v>
      </c>
      <c r="D10" s="38" t="s">
        <v>242</v>
      </c>
      <c r="E10" s="38" t="s">
        <v>244</v>
      </c>
      <c r="F10" s="38" t="s">
        <v>244</v>
      </c>
      <c r="G10" s="38" t="s">
        <v>258</v>
      </c>
      <c r="H10" s="38" t="s">
        <v>259</v>
      </c>
      <c r="I10" s="38" t="s">
        <v>260</v>
      </c>
      <c r="J10" s="38">
        <v>3</v>
      </c>
      <c r="K10" s="38" t="s">
        <v>222</v>
      </c>
      <c r="L10" s="38">
        <v>30</v>
      </c>
      <c r="M10" s="38">
        <v>13</v>
      </c>
      <c r="N10" s="38"/>
      <c r="O10" s="46" t="s">
        <v>261</v>
      </c>
      <c r="P10" s="38">
        <v>42</v>
      </c>
      <c r="Q10" s="38">
        <f t="shared" si="0"/>
        <v>29</v>
      </c>
      <c r="R10" s="38">
        <v>4</v>
      </c>
      <c r="S10" s="38" t="s">
        <v>262</v>
      </c>
      <c r="T10" s="38">
        <v>1</v>
      </c>
      <c r="U10" s="38" t="str">
        <f>IF(R10&gt;=T10,"Positive","Negative")</f>
        <v>Positive</v>
      </c>
      <c r="V10" s="47"/>
      <c r="Y10" s="44"/>
      <c r="Z10" s="44"/>
      <c r="AA10" s="45">
        <v>52</v>
      </c>
      <c r="AB10" s="38" t="s">
        <v>588</v>
      </c>
      <c r="AC10" s="51">
        <v>42617</v>
      </c>
      <c r="AD10" s="38" t="s">
        <v>298</v>
      </c>
      <c r="AE10" s="38" t="s">
        <v>299</v>
      </c>
      <c r="AF10" s="38" t="s">
        <v>398</v>
      </c>
      <c r="AG10" s="38" t="s">
        <v>399</v>
      </c>
      <c r="AH10" s="38" t="s">
        <v>420</v>
      </c>
      <c r="AI10" s="38" t="s">
        <v>421</v>
      </c>
      <c r="AJ10" s="38">
        <v>3</v>
      </c>
      <c r="AK10" s="38" t="s">
        <v>222</v>
      </c>
      <c r="AL10" s="38">
        <v>40</v>
      </c>
      <c r="AM10" s="38">
        <v>40.590000000000003</v>
      </c>
      <c r="AN10" s="38"/>
      <c r="AO10" s="46" t="s">
        <v>580</v>
      </c>
      <c r="AP10" s="38">
        <v>87.09</v>
      </c>
      <c r="AQ10" s="38">
        <v>46.5</v>
      </c>
      <c r="AR10" s="38">
        <v>22</v>
      </c>
      <c r="AS10" s="38"/>
      <c r="AT10" s="38">
        <v>1</v>
      </c>
      <c r="AU10" s="38" t="s">
        <v>286</v>
      </c>
      <c r="AV10" s="47"/>
      <c r="AW10" s="44"/>
      <c r="AX10" s="44"/>
      <c r="AY10" s="44"/>
      <c r="AZ10" s="44"/>
      <c r="BA10" s="44"/>
    </row>
    <row r="11" spans="1:53" ht="16.5" x14ac:dyDescent="0.25">
      <c r="A11" s="45">
        <v>10</v>
      </c>
      <c r="B11" s="38" t="s">
        <v>263</v>
      </c>
      <c r="C11" s="51">
        <v>42363</v>
      </c>
      <c r="D11" s="38" t="s">
        <v>264</v>
      </c>
      <c r="E11" s="38" t="s">
        <v>265</v>
      </c>
      <c r="F11" s="38" t="s">
        <v>266</v>
      </c>
      <c r="G11" s="38" t="s">
        <v>267</v>
      </c>
      <c r="H11" s="38" t="s">
        <v>268</v>
      </c>
      <c r="I11" s="38" t="s">
        <v>269</v>
      </c>
      <c r="J11" s="38">
        <v>2</v>
      </c>
      <c r="K11" s="52" t="s">
        <v>256</v>
      </c>
      <c r="L11" s="38">
        <v>50</v>
      </c>
      <c r="M11" s="38">
        <v>13</v>
      </c>
      <c r="N11" s="38"/>
      <c r="O11" s="46" t="s">
        <v>227</v>
      </c>
      <c r="P11" s="38">
        <v>55.7</v>
      </c>
      <c r="Q11" s="38">
        <f t="shared" si="0"/>
        <v>42.7</v>
      </c>
      <c r="R11" s="38">
        <v>3</v>
      </c>
      <c r="S11" s="38"/>
      <c r="T11" s="38">
        <v>1</v>
      </c>
      <c r="U11" s="38" t="str">
        <f>IF(R11&gt;=T11,"Positive","Negative")</f>
        <v>Positive</v>
      </c>
      <c r="V11" s="47"/>
      <c r="Y11" s="44"/>
      <c r="AA11" s="45">
        <v>53</v>
      </c>
      <c r="AB11" s="38" t="s">
        <v>588</v>
      </c>
      <c r="AC11" s="51">
        <v>42620</v>
      </c>
      <c r="AD11" s="38" t="s">
        <v>298</v>
      </c>
      <c r="AE11" s="38" t="s">
        <v>299</v>
      </c>
      <c r="AF11" s="38" t="s">
        <v>398</v>
      </c>
      <c r="AG11" s="38" t="s">
        <v>399</v>
      </c>
      <c r="AH11" s="38" t="s">
        <v>422</v>
      </c>
      <c r="AI11" s="38" t="s">
        <v>423</v>
      </c>
      <c r="AJ11" s="38">
        <v>3</v>
      </c>
      <c r="AK11" s="38" t="s">
        <v>222</v>
      </c>
      <c r="AL11" s="38">
        <v>37</v>
      </c>
      <c r="AM11" s="38">
        <v>45.14</v>
      </c>
      <c r="AN11" s="38"/>
      <c r="AO11" s="46" t="s">
        <v>581</v>
      </c>
      <c r="AP11" s="38">
        <v>77.900000000000006</v>
      </c>
      <c r="AQ11" s="38">
        <v>32.76</v>
      </c>
      <c r="AR11" s="38">
        <v>6</v>
      </c>
      <c r="AS11" s="38"/>
      <c r="AT11" s="38">
        <v>1</v>
      </c>
      <c r="AU11" s="38" t="s">
        <v>286</v>
      </c>
      <c r="AV11" s="47"/>
      <c r="AW11" s="44"/>
      <c r="AX11" s="44"/>
      <c r="AY11" s="44"/>
      <c r="AZ11" s="44"/>
      <c r="BA11" s="44"/>
    </row>
    <row r="12" spans="1:53" ht="16.5" x14ac:dyDescent="0.25">
      <c r="A12" s="45">
        <v>11</v>
      </c>
      <c r="B12" s="38" t="s">
        <v>263</v>
      </c>
      <c r="C12" s="51">
        <v>42335</v>
      </c>
      <c r="D12" s="38" t="s">
        <v>264</v>
      </c>
      <c r="E12" s="38" t="s">
        <v>265</v>
      </c>
      <c r="F12" s="38" t="s">
        <v>266</v>
      </c>
      <c r="G12" s="38" t="s">
        <v>270</v>
      </c>
      <c r="H12" s="38" t="s">
        <v>271</v>
      </c>
      <c r="I12" s="38" t="s">
        <v>272</v>
      </c>
      <c r="J12" s="47">
        <v>2</v>
      </c>
      <c r="K12" s="53" t="s">
        <v>256</v>
      </c>
      <c r="L12" s="54">
        <v>50</v>
      </c>
      <c r="M12" s="38">
        <v>51.76</v>
      </c>
      <c r="N12" s="38"/>
      <c r="O12" s="46" t="s">
        <v>273</v>
      </c>
      <c r="P12" s="38">
        <v>100</v>
      </c>
      <c r="Q12" s="38">
        <f t="shared" si="0"/>
        <v>48.24</v>
      </c>
      <c r="R12" s="38"/>
      <c r="S12" s="38"/>
      <c r="T12" s="38">
        <v>1</v>
      </c>
      <c r="U12" s="50" t="s">
        <v>274</v>
      </c>
      <c r="V12" s="47"/>
      <c r="Y12" s="44"/>
      <c r="AA12" s="45">
        <v>54</v>
      </c>
      <c r="AB12" s="38" t="s">
        <v>588</v>
      </c>
      <c r="AC12" s="51">
        <v>42621</v>
      </c>
      <c r="AD12" s="38" t="s">
        <v>298</v>
      </c>
      <c r="AE12" s="38" t="s">
        <v>299</v>
      </c>
      <c r="AF12" s="38" t="s">
        <v>300</v>
      </c>
      <c r="AG12" s="38" t="s">
        <v>424</v>
      </c>
      <c r="AH12" s="38" t="s">
        <v>425</v>
      </c>
      <c r="AI12" s="38" t="s">
        <v>426</v>
      </c>
      <c r="AJ12" s="38">
        <v>3</v>
      </c>
      <c r="AK12" s="38" t="s">
        <v>222</v>
      </c>
      <c r="AL12" s="38">
        <v>45</v>
      </c>
      <c r="AM12" s="38">
        <v>27</v>
      </c>
      <c r="AN12" s="38"/>
      <c r="AO12" s="46" t="s">
        <v>427</v>
      </c>
      <c r="AP12" s="38">
        <v>82.41</v>
      </c>
      <c r="AQ12" s="38">
        <v>55.41</v>
      </c>
      <c r="AR12" s="38">
        <v>1</v>
      </c>
      <c r="AS12" s="38"/>
      <c r="AT12" s="38">
        <v>1</v>
      </c>
      <c r="AU12" s="38" t="s">
        <v>286</v>
      </c>
      <c r="AV12" s="47"/>
      <c r="AW12" s="44"/>
      <c r="AX12" s="44"/>
      <c r="AY12" s="44"/>
      <c r="AZ12" s="44"/>
      <c r="BA12" s="44"/>
    </row>
    <row r="13" spans="1:53" ht="16.5" x14ac:dyDescent="0.25">
      <c r="A13" s="45">
        <v>12</v>
      </c>
      <c r="B13" s="38" t="s">
        <v>263</v>
      </c>
      <c r="C13" s="51">
        <v>42336</v>
      </c>
      <c r="D13" s="38" t="s">
        <v>264</v>
      </c>
      <c r="E13" s="38" t="s">
        <v>265</v>
      </c>
      <c r="F13" s="38" t="s">
        <v>266</v>
      </c>
      <c r="G13" s="38" t="s">
        <v>267</v>
      </c>
      <c r="H13" s="38" t="s">
        <v>275</v>
      </c>
      <c r="I13" s="38" t="s">
        <v>276</v>
      </c>
      <c r="J13" s="38">
        <v>2</v>
      </c>
      <c r="K13" s="36" t="s">
        <v>222</v>
      </c>
      <c r="L13" s="38">
        <v>50</v>
      </c>
      <c r="M13" s="38">
        <v>39.85</v>
      </c>
      <c r="N13" s="38"/>
      <c r="O13" s="46"/>
      <c r="P13" s="38"/>
      <c r="Q13" s="38" t="s">
        <v>224</v>
      </c>
      <c r="R13" s="38"/>
      <c r="S13" s="38"/>
      <c r="T13" s="38"/>
      <c r="U13" s="38"/>
      <c r="V13" s="47" t="s">
        <v>277</v>
      </c>
      <c r="Y13" s="44"/>
      <c r="AA13" s="45">
        <v>55</v>
      </c>
      <c r="AB13" s="38" t="s">
        <v>588</v>
      </c>
      <c r="AC13" s="51">
        <v>42622</v>
      </c>
      <c r="AD13" s="38" t="s">
        <v>298</v>
      </c>
      <c r="AE13" s="38" t="s">
        <v>299</v>
      </c>
      <c r="AF13" s="38" t="s">
        <v>398</v>
      </c>
      <c r="AG13" s="38" t="s">
        <v>428</v>
      </c>
      <c r="AH13" s="38" t="s">
        <v>429</v>
      </c>
      <c r="AI13" s="38" t="s">
        <v>430</v>
      </c>
      <c r="AJ13" s="38">
        <v>3</v>
      </c>
      <c r="AK13" s="38" t="s">
        <v>222</v>
      </c>
      <c r="AL13" s="38">
        <v>38</v>
      </c>
      <c r="AM13" s="38"/>
      <c r="AN13" s="38"/>
      <c r="AO13" s="46" t="s">
        <v>431</v>
      </c>
      <c r="AP13" s="38"/>
      <c r="AQ13" s="38"/>
      <c r="AR13" s="38"/>
      <c r="AS13" s="38"/>
      <c r="AT13" s="38">
        <v>1</v>
      </c>
      <c r="AU13" s="38"/>
      <c r="AV13" s="47"/>
      <c r="AW13" s="44"/>
      <c r="AX13" s="44"/>
      <c r="AY13" s="44"/>
      <c r="AZ13" s="44"/>
      <c r="BA13" s="44"/>
    </row>
    <row r="14" spans="1:53" ht="16.5" x14ac:dyDescent="0.25">
      <c r="A14" s="45">
        <v>13</v>
      </c>
      <c r="B14" s="38" t="s">
        <v>263</v>
      </c>
      <c r="C14" s="51">
        <v>42337</v>
      </c>
      <c r="D14" s="38" t="s">
        <v>264</v>
      </c>
      <c r="E14" s="38" t="s">
        <v>265</v>
      </c>
      <c r="F14" s="38" t="s">
        <v>266</v>
      </c>
      <c r="G14" s="38" t="s">
        <v>267</v>
      </c>
      <c r="H14" s="38" t="s">
        <v>278</v>
      </c>
      <c r="I14" s="38" t="s">
        <v>279</v>
      </c>
      <c r="J14" s="38">
        <v>2</v>
      </c>
      <c r="K14" s="38" t="s">
        <v>222</v>
      </c>
      <c r="L14" s="38">
        <v>40</v>
      </c>
      <c r="M14" s="38">
        <v>14.9</v>
      </c>
      <c r="N14" s="38"/>
      <c r="O14" s="46" t="s">
        <v>227</v>
      </c>
      <c r="P14" s="38">
        <v>70.95</v>
      </c>
      <c r="Q14" s="38">
        <f>P14-M14</f>
        <v>56.050000000000004</v>
      </c>
      <c r="R14" s="38">
        <v>2</v>
      </c>
      <c r="S14" s="38"/>
      <c r="T14" s="38">
        <v>1</v>
      </c>
      <c r="U14" s="38" t="str">
        <f>IF(R14&gt;=T14,"Positive","Negative")</f>
        <v>Positive</v>
      </c>
      <c r="V14" s="47"/>
      <c r="Y14" s="44"/>
      <c r="AA14" s="45">
        <v>56</v>
      </c>
      <c r="AB14" s="38" t="s">
        <v>588</v>
      </c>
      <c r="AC14" s="51">
        <v>42623</v>
      </c>
      <c r="AD14" s="38" t="s">
        <v>298</v>
      </c>
      <c r="AE14" s="38" t="s">
        <v>299</v>
      </c>
      <c r="AF14" s="38" t="s">
        <v>398</v>
      </c>
      <c r="AG14" s="38" t="s">
        <v>428</v>
      </c>
      <c r="AH14" s="38" t="s">
        <v>432</v>
      </c>
      <c r="AI14" s="38" t="s">
        <v>433</v>
      </c>
      <c r="AJ14" s="38">
        <v>3</v>
      </c>
      <c r="AK14" s="38" t="s">
        <v>222</v>
      </c>
      <c r="AL14" s="38">
        <v>47</v>
      </c>
      <c r="AM14" s="38">
        <v>20.3</v>
      </c>
      <c r="AN14" s="38"/>
      <c r="AO14" s="46" t="s">
        <v>434</v>
      </c>
      <c r="AP14" s="38">
        <v>87.66</v>
      </c>
      <c r="AQ14" s="38">
        <v>67.36</v>
      </c>
      <c r="AR14" s="38">
        <v>12</v>
      </c>
      <c r="AS14" s="38"/>
      <c r="AT14" s="38">
        <v>1</v>
      </c>
      <c r="AU14" s="38" t="s">
        <v>286</v>
      </c>
      <c r="AV14" s="47"/>
      <c r="AW14" s="44"/>
      <c r="AX14" s="44"/>
      <c r="AY14" s="44"/>
      <c r="AZ14" s="44"/>
      <c r="BA14" s="44"/>
    </row>
    <row r="15" spans="1:53" ht="16.5" x14ac:dyDescent="0.25">
      <c r="A15" s="45">
        <v>14</v>
      </c>
      <c r="B15" s="38" t="s">
        <v>263</v>
      </c>
      <c r="C15" s="51">
        <v>42338</v>
      </c>
      <c r="D15" s="38" t="s">
        <v>264</v>
      </c>
      <c r="E15" s="38" t="s">
        <v>265</v>
      </c>
      <c r="F15" s="38" t="s">
        <v>266</v>
      </c>
      <c r="G15" s="38" t="s">
        <v>280</v>
      </c>
      <c r="H15" s="38" t="s">
        <v>281</v>
      </c>
      <c r="I15" s="38" t="s">
        <v>282</v>
      </c>
      <c r="J15" s="38">
        <v>2</v>
      </c>
      <c r="K15" s="38" t="s">
        <v>222</v>
      </c>
      <c r="L15" s="38">
        <v>100</v>
      </c>
      <c r="M15" s="38">
        <v>30</v>
      </c>
      <c r="N15" s="38"/>
      <c r="O15" s="46" t="s">
        <v>273</v>
      </c>
      <c r="P15" s="38">
        <v>60</v>
      </c>
      <c r="Q15" s="38">
        <f>P15-M15</f>
        <v>30</v>
      </c>
      <c r="R15" s="38">
        <v>2</v>
      </c>
      <c r="S15" s="38"/>
      <c r="T15" s="38">
        <v>1</v>
      </c>
      <c r="U15" s="38" t="str">
        <f t="shared" ref="U15:U16" si="1">IF(R15&gt;=T15,"Positive","Negative")</f>
        <v>Positive</v>
      </c>
      <c r="V15" s="47"/>
      <c r="Y15" s="44"/>
      <c r="AA15" s="45">
        <v>57</v>
      </c>
      <c r="AB15" s="38" t="s">
        <v>588</v>
      </c>
      <c r="AC15" s="51">
        <v>42624</v>
      </c>
      <c r="AD15" s="38" t="s">
        <v>298</v>
      </c>
      <c r="AE15" s="38" t="s">
        <v>299</v>
      </c>
      <c r="AF15" s="38" t="s">
        <v>398</v>
      </c>
      <c r="AG15" s="38" t="s">
        <v>428</v>
      </c>
      <c r="AH15" s="38" t="s">
        <v>435</v>
      </c>
      <c r="AI15" s="38" t="s">
        <v>436</v>
      </c>
      <c r="AJ15" s="38">
        <v>3</v>
      </c>
      <c r="AK15" s="38" t="s">
        <v>222</v>
      </c>
      <c r="AL15" s="38">
        <v>35</v>
      </c>
      <c r="AM15" s="38">
        <v>5.07</v>
      </c>
      <c r="AN15" s="38"/>
      <c r="AO15" s="46" t="s">
        <v>582</v>
      </c>
      <c r="AP15" s="38">
        <v>86.56</v>
      </c>
      <c r="AQ15" s="38">
        <v>81.489999999999995</v>
      </c>
      <c r="AR15" s="38">
        <v>9</v>
      </c>
      <c r="AS15" s="38"/>
      <c r="AT15" s="38">
        <v>1</v>
      </c>
      <c r="AU15" s="38" t="s">
        <v>286</v>
      </c>
      <c r="AV15" s="47"/>
      <c r="AW15" s="44"/>
      <c r="AX15" s="44"/>
      <c r="AY15" s="44"/>
      <c r="AZ15" s="44"/>
      <c r="BA15" s="44"/>
    </row>
    <row r="16" spans="1:53" ht="16.5" x14ac:dyDescent="0.25">
      <c r="A16" s="45">
        <v>15</v>
      </c>
      <c r="B16" s="38" t="s">
        <v>263</v>
      </c>
      <c r="C16" s="51">
        <v>42339</v>
      </c>
      <c r="D16" s="38" t="s">
        <v>264</v>
      </c>
      <c r="E16" s="38" t="s">
        <v>265</v>
      </c>
      <c r="F16" s="38" t="s">
        <v>266</v>
      </c>
      <c r="G16" s="38" t="s">
        <v>270</v>
      </c>
      <c r="H16" s="38" t="s">
        <v>283</v>
      </c>
      <c r="I16" s="38" t="s">
        <v>284</v>
      </c>
      <c r="J16" s="38">
        <v>2</v>
      </c>
      <c r="K16" s="38" t="s">
        <v>222</v>
      </c>
      <c r="L16" s="38">
        <v>100</v>
      </c>
      <c r="M16" s="38">
        <v>51.76</v>
      </c>
      <c r="N16" s="38"/>
      <c r="O16" s="46" t="s">
        <v>273</v>
      </c>
      <c r="P16" s="38">
        <v>110</v>
      </c>
      <c r="Q16" s="38">
        <f>P16-M16</f>
        <v>58.24</v>
      </c>
      <c r="R16" s="50" t="s">
        <v>274</v>
      </c>
      <c r="S16" s="38" t="s">
        <v>285</v>
      </c>
      <c r="T16" s="38">
        <v>1</v>
      </c>
      <c r="U16" s="38" t="str">
        <f t="shared" si="1"/>
        <v>Positive</v>
      </c>
      <c r="V16" s="47"/>
      <c r="Y16" s="44"/>
      <c r="AA16" s="45">
        <v>58</v>
      </c>
      <c r="AB16" s="38" t="s">
        <v>588</v>
      </c>
      <c r="AC16" s="51">
        <v>42625</v>
      </c>
      <c r="AD16" s="38" t="s">
        <v>298</v>
      </c>
      <c r="AE16" s="38" t="s">
        <v>299</v>
      </c>
      <c r="AF16" s="38" t="s">
        <v>398</v>
      </c>
      <c r="AG16" s="38" t="s">
        <v>399</v>
      </c>
      <c r="AH16" s="38" t="s">
        <v>437</v>
      </c>
      <c r="AI16" s="38" t="s">
        <v>438</v>
      </c>
      <c r="AJ16" s="38">
        <v>3</v>
      </c>
      <c r="AK16" s="38" t="s">
        <v>222</v>
      </c>
      <c r="AL16" s="38">
        <v>35</v>
      </c>
      <c r="AM16" s="38">
        <v>24.63</v>
      </c>
      <c r="AN16" s="38"/>
      <c r="AO16" s="46" t="s">
        <v>431</v>
      </c>
      <c r="AP16" s="38">
        <v>86.74</v>
      </c>
      <c r="AQ16" s="38">
        <v>62.11</v>
      </c>
      <c r="AR16" s="38">
        <v>3</v>
      </c>
      <c r="AS16" s="38"/>
      <c r="AT16" s="38">
        <v>1</v>
      </c>
      <c r="AU16" s="38" t="s">
        <v>286</v>
      </c>
      <c r="AV16" s="47"/>
      <c r="AW16" s="44"/>
      <c r="AX16" s="44"/>
      <c r="AY16" s="44"/>
      <c r="AZ16" s="44"/>
      <c r="BA16" s="44"/>
    </row>
    <row r="17" spans="1:53" ht="16.5" x14ac:dyDescent="0.25">
      <c r="A17" s="45">
        <v>16</v>
      </c>
      <c r="B17" s="38" t="s">
        <v>263</v>
      </c>
      <c r="C17" s="51">
        <v>42340</v>
      </c>
      <c r="D17" s="38" t="s">
        <v>264</v>
      </c>
      <c r="E17" s="38" t="s">
        <v>265</v>
      </c>
      <c r="F17" s="38" t="s">
        <v>266</v>
      </c>
      <c r="G17" s="38" t="s">
        <v>280</v>
      </c>
      <c r="H17" s="38" t="s">
        <v>287</v>
      </c>
      <c r="I17" s="38" t="s">
        <v>288</v>
      </c>
      <c r="J17" s="38">
        <v>2</v>
      </c>
      <c r="K17" s="38" t="s">
        <v>222</v>
      </c>
      <c r="L17" s="38">
        <v>20</v>
      </c>
      <c r="M17" s="38">
        <v>115.14</v>
      </c>
      <c r="N17" s="38"/>
      <c r="O17" s="46" t="s">
        <v>273</v>
      </c>
      <c r="P17" s="38"/>
      <c r="Q17" s="38"/>
      <c r="R17" s="38"/>
      <c r="S17" s="38"/>
      <c r="T17" s="38"/>
      <c r="U17" s="50" t="s">
        <v>274</v>
      </c>
      <c r="V17" s="47" t="s">
        <v>289</v>
      </c>
      <c r="Y17" s="44"/>
      <c r="AA17" s="45">
        <v>59</v>
      </c>
      <c r="AB17" s="38" t="s">
        <v>588</v>
      </c>
      <c r="AC17" s="51">
        <v>42627</v>
      </c>
      <c r="AD17" s="38" t="s">
        <v>298</v>
      </c>
      <c r="AE17" s="38" t="s">
        <v>299</v>
      </c>
      <c r="AF17" s="38" t="s">
        <v>398</v>
      </c>
      <c r="AG17" s="38" t="s">
        <v>399</v>
      </c>
      <c r="AH17" s="38" t="s">
        <v>439</v>
      </c>
      <c r="AI17" s="38" t="s">
        <v>440</v>
      </c>
      <c r="AJ17" s="38">
        <v>3</v>
      </c>
      <c r="AK17" s="38" t="s">
        <v>222</v>
      </c>
      <c r="AL17" s="38">
        <v>40</v>
      </c>
      <c r="AM17" s="38">
        <v>19</v>
      </c>
      <c r="AN17" s="38"/>
      <c r="AO17" s="46" t="s">
        <v>583</v>
      </c>
      <c r="AP17" s="38">
        <v>79.36</v>
      </c>
      <c r="AQ17" s="38">
        <v>60.36</v>
      </c>
      <c r="AR17" s="38">
        <v>6</v>
      </c>
      <c r="AS17" s="38"/>
      <c r="AT17" s="38">
        <v>1</v>
      </c>
      <c r="AU17" s="38" t="s">
        <v>286</v>
      </c>
      <c r="AV17" s="47"/>
      <c r="AW17" s="44"/>
      <c r="AX17" s="44"/>
      <c r="AY17" s="44"/>
      <c r="AZ17" s="44"/>
      <c r="BA17" s="44"/>
    </row>
    <row r="18" spans="1:53" ht="16.5" x14ac:dyDescent="0.25">
      <c r="A18" s="45">
        <v>17</v>
      </c>
      <c r="B18" s="38"/>
      <c r="C18" s="51"/>
      <c r="D18" s="38" t="s">
        <v>264</v>
      </c>
      <c r="E18" s="38" t="s">
        <v>265</v>
      </c>
      <c r="F18" s="38" t="s">
        <v>266</v>
      </c>
      <c r="G18" s="38" t="s">
        <v>267</v>
      </c>
      <c r="H18" s="38" t="s">
        <v>290</v>
      </c>
      <c r="I18" s="38" t="s">
        <v>291</v>
      </c>
      <c r="J18" s="38">
        <v>2</v>
      </c>
      <c r="K18" s="38" t="s">
        <v>222</v>
      </c>
      <c r="L18" s="38">
        <v>50</v>
      </c>
      <c r="M18" s="38">
        <v>6.65</v>
      </c>
      <c r="N18" s="38"/>
      <c r="O18" s="46" t="s">
        <v>257</v>
      </c>
      <c r="P18" s="38">
        <v>48.74</v>
      </c>
      <c r="Q18" s="38">
        <f>P18-M18</f>
        <v>42.09</v>
      </c>
      <c r="R18" s="38">
        <v>3</v>
      </c>
      <c r="S18" s="38"/>
      <c r="T18" s="38">
        <v>1</v>
      </c>
      <c r="U18" s="38" t="str">
        <f>IF(R18&gt;=T18,"Positive","Negative")</f>
        <v>Positive</v>
      </c>
      <c r="V18" s="47"/>
      <c r="Y18" s="44"/>
      <c r="AA18" s="45"/>
      <c r="AB18" s="38"/>
      <c r="AC18" s="51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46"/>
      <c r="AP18" s="38"/>
      <c r="AQ18" s="38"/>
      <c r="AR18" s="38"/>
      <c r="AS18" s="38"/>
      <c r="AT18" s="38"/>
      <c r="AU18" s="38"/>
      <c r="AV18" s="47"/>
      <c r="AW18" s="44"/>
      <c r="AX18" s="44"/>
      <c r="AY18" s="44"/>
      <c r="AZ18" s="44"/>
      <c r="BA18" s="44"/>
    </row>
    <row r="19" spans="1:53" ht="16.5" x14ac:dyDescent="0.25">
      <c r="A19" s="45">
        <v>18</v>
      </c>
      <c r="B19" s="38" t="s">
        <v>584</v>
      </c>
      <c r="C19" s="51">
        <v>42339</v>
      </c>
      <c r="D19" s="38" t="s">
        <v>216</v>
      </c>
      <c r="E19" s="38" t="s">
        <v>292</v>
      </c>
      <c r="F19" s="38" t="s">
        <v>293</v>
      </c>
      <c r="G19" s="38" t="s">
        <v>294</v>
      </c>
      <c r="H19" s="38" t="s">
        <v>294</v>
      </c>
      <c r="I19" s="38" t="s">
        <v>295</v>
      </c>
      <c r="J19" s="38">
        <v>2</v>
      </c>
      <c r="K19" s="38" t="s">
        <v>222</v>
      </c>
      <c r="L19" s="38"/>
      <c r="M19" s="49"/>
      <c r="N19" s="59"/>
      <c r="O19" s="60"/>
      <c r="P19" s="61" t="s">
        <v>296</v>
      </c>
      <c r="Q19" s="59"/>
      <c r="R19" s="59"/>
      <c r="S19" s="59"/>
      <c r="T19" s="59"/>
      <c r="U19" s="59"/>
      <c r="V19" s="61"/>
      <c r="Y19" s="44"/>
      <c r="AA19" s="45"/>
      <c r="AB19" s="38"/>
      <c r="AC19" s="51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46"/>
      <c r="AP19" s="38"/>
      <c r="AQ19" s="38"/>
      <c r="AR19" s="38"/>
      <c r="AS19" s="38"/>
      <c r="AT19" s="38"/>
      <c r="AU19" s="38"/>
      <c r="AV19" s="47"/>
      <c r="AW19" s="44"/>
      <c r="AX19" s="44"/>
      <c r="AY19" s="44"/>
      <c r="AZ19" s="44"/>
      <c r="BA19" s="44"/>
    </row>
    <row r="20" spans="1:53" ht="16.5" x14ac:dyDescent="0.25">
      <c r="A20" s="45">
        <v>19</v>
      </c>
      <c r="B20" s="38" t="s">
        <v>297</v>
      </c>
      <c r="C20" s="51">
        <v>42027</v>
      </c>
      <c r="D20" s="38" t="s">
        <v>298</v>
      </c>
      <c r="E20" s="49" t="s">
        <v>299</v>
      </c>
      <c r="F20" s="38" t="s">
        <v>300</v>
      </c>
      <c r="G20" s="38" t="s">
        <v>301</v>
      </c>
      <c r="H20" s="38" t="s">
        <v>302</v>
      </c>
      <c r="I20" s="38" t="s">
        <v>303</v>
      </c>
      <c r="J20" s="38">
        <v>2</v>
      </c>
      <c r="K20" s="38" t="s">
        <v>256</v>
      </c>
      <c r="L20" s="38">
        <v>15</v>
      </c>
      <c r="M20" s="38">
        <v>33</v>
      </c>
      <c r="N20" s="38"/>
      <c r="O20" s="46" t="s">
        <v>304</v>
      </c>
      <c r="P20" s="38">
        <v>70</v>
      </c>
      <c r="Q20" s="38">
        <f t="shared" ref="Q20:Q30" si="2">P20-M20</f>
        <v>37</v>
      </c>
      <c r="R20" s="38">
        <v>20</v>
      </c>
      <c r="S20" s="38" t="s">
        <v>305</v>
      </c>
      <c r="T20" s="38">
        <v>1</v>
      </c>
      <c r="U20" s="38" t="str">
        <f>IF(R20&gt;=T20,"Positive","Negative")</f>
        <v>Positive</v>
      </c>
      <c r="V20" s="47"/>
      <c r="Y20" s="44"/>
      <c r="AA20" s="45"/>
      <c r="AB20" s="38"/>
      <c r="AC20" s="51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46"/>
      <c r="AP20" s="38"/>
      <c r="AQ20" s="38"/>
      <c r="AR20" s="38"/>
      <c r="AS20" s="38"/>
      <c r="AT20" s="38"/>
      <c r="AU20" s="38"/>
      <c r="AV20" s="47"/>
      <c r="AW20" s="44"/>
      <c r="AX20" s="44"/>
      <c r="AY20" s="44"/>
      <c r="AZ20" s="44"/>
      <c r="BA20" s="44"/>
    </row>
    <row r="21" spans="1:53" ht="16.5" x14ac:dyDescent="0.25">
      <c r="A21" s="45">
        <v>20</v>
      </c>
      <c r="B21" s="38" t="s">
        <v>297</v>
      </c>
      <c r="C21" s="51">
        <v>42028</v>
      </c>
      <c r="D21" s="38" t="s">
        <v>250</v>
      </c>
      <c r="E21" s="38" t="s">
        <v>306</v>
      </c>
      <c r="F21" s="38" t="s">
        <v>307</v>
      </c>
      <c r="G21" s="38" t="s">
        <v>308</v>
      </c>
      <c r="H21" s="38" t="s">
        <v>309</v>
      </c>
      <c r="I21" s="38" t="s">
        <v>310</v>
      </c>
      <c r="J21" s="38">
        <v>2</v>
      </c>
      <c r="K21" s="38" t="s">
        <v>256</v>
      </c>
      <c r="L21" s="38">
        <v>30</v>
      </c>
      <c r="M21" s="38">
        <v>25</v>
      </c>
      <c r="N21" s="38"/>
      <c r="O21" s="46" t="s">
        <v>311</v>
      </c>
      <c r="P21" s="38">
        <v>60</v>
      </c>
      <c r="Q21" s="38">
        <f t="shared" si="2"/>
        <v>35</v>
      </c>
      <c r="R21" s="38">
        <v>2.2999999999999998</v>
      </c>
      <c r="S21" s="38" t="s">
        <v>312</v>
      </c>
      <c r="T21" s="38">
        <v>1</v>
      </c>
      <c r="U21" s="38" t="str">
        <f>IF(R21&gt;=T21,"Positive","Negative")</f>
        <v>Positive</v>
      </c>
      <c r="V21" s="47"/>
      <c r="Y21" s="44"/>
      <c r="AA21" s="45"/>
      <c r="AB21" s="38"/>
      <c r="AC21" s="51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46"/>
      <c r="AP21" s="38"/>
      <c r="AQ21" s="38"/>
      <c r="AR21" s="38"/>
      <c r="AS21" s="38"/>
      <c r="AT21" s="38"/>
      <c r="AU21" s="38"/>
      <c r="AV21" s="47"/>
      <c r="AW21" s="44"/>
      <c r="AX21" s="44"/>
      <c r="AY21" s="44"/>
      <c r="AZ21" s="44"/>
      <c r="BA21" s="44"/>
    </row>
    <row r="22" spans="1:53" ht="16.5" x14ac:dyDescent="0.25">
      <c r="A22" s="45">
        <v>21</v>
      </c>
      <c r="B22" s="38" t="s">
        <v>297</v>
      </c>
      <c r="C22" s="51">
        <v>42029</v>
      </c>
      <c r="D22" s="38" t="s">
        <v>250</v>
      </c>
      <c r="E22" s="38" t="s">
        <v>251</v>
      </c>
      <c r="F22" s="38" t="s">
        <v>313</v>
      </c>
      <c r="G22" s="38" t="s">
        <v>314</v>
      </c>
      <c r="H22" s="38" t="s">
        <v>315</v>
      </c>
      <c r="I22" s="38" t="s">
        <v>316</v>
      </c>
      <c r="J22" s="38">
        <v>2</v>
      </c>
      <c r="K22" s="38" t="s">
        <v>222</v>
      </c>
      <c r="L22" s="38">
        <v>30</v>
      </c>
      <c r="M22" s="38">
        <v>5</v>
      </c>
      <c r="N22" s="38"/>
      <c r="O22" s="46" t="s">
        <v>317</v>
      </c>
      <c r="P22" s="38">
        <v>50</v>
      </c>
      <c r="Q22" s="38">
        <f t="shared" si="2"/>
        <v>45</v>
      </c>
      <c r="R22" s="38">
        <v>2.1</v>
      </c>
      <c r="S22" s="38" t="s">
        <v>312</v>
      </c>
      <c r="T22" s="38">
        <v>1</v>
      </c>
      <c r="U22" s="38" t="str">
        <f t="shared" ref="U22:U30" si="3">IF(R22&gt;=T22,"Positive","Negative")</f>
        <v>Positive</v>
      </c>
      <c r="V22" s="47"/>
      <c r="Y22" s="44"/>
      <c r="AA22" s="45"/>
      <c r="AB22" s="38"/>
      <c r="AC22" s="51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46"/>
      <c r="AP22" s="38"/>
      <c r="AQ22" s="38"/>
      <c r="AR22" s="38"/>
      <c r="AS22" s="38"/>
      <c r="AT22" s="38"/>
      <c r="AU22" s="38"/>
      <c r="AV22" s="47"/>
      <c r="AW22" s="44"/>
      <c r="AX22" s="44"/>
      <c r="AY22" s="44"/>
      <c r="AZ22" s="44"/>
      <c r="BA22" s="44"/>
    </row>
    <row r="23" spans="1:53" ht="16.5" x14ac:dyDescent="0.25">
      <c r="A23" s="45">
        <v>22</v>
      </c>
      <c r="B23" s="38" t="s">
        <v>318</v>
      </c>
      <c r="C23" s="51">
        <v>42027</v>
      </c>
      <c r="D23" s="38" t="s">
        <v>319</v>
      </c>
      <c r="E23" s="38" t="s">
        <v>320</v>
      </c>
      <c r="F23" s="38" t="s">
        <v>321</v>
      </c>
      <c r="G23" s="38" t="s">
        <v>321</v>
      </c>
      <c r="H23" s="38" t="s">
        <v>322</v>
      </c>
      <c r="I23" s="38" t="s">
        <v>323</v>
      </c>
      <c r="J23" s="38"/>
      <c r="K23" s="38"/>
      <c r="L23" s="38"/>
      <c r="M23" s="38">
        <v>14.14</v>
      </c>
      <c r="N23" s="38"/>
      <c r="O23" s="46"/>
      <c r="P23" s="38">
        <v>52.2</v>
      </c>
      <c r="Q23" s="38">
        <f t="shared" si="2"/>
        <v>38.06</v>
      </c>
      <c r="R23" s="38">
        <v>3</v>
      </c>
      <c r="S23" s="38" t="s">
        <v>224</v>
      </c>
      <c r="T23" s="38">
        <v>1</v>
      </c>
      <c r="U23" s="38" t="str">
        <f t="shared" si="3"/>
        <v>Positive</v>
      </c>
      <c r="V23" s="47"/>
      <c r="Y23" s="44"/>
      <c r="AA23" s="45"/>
      <c r="AB23" s="38"/>
      <c r="AC23" s="51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46"/>
      <c r="AP23" s="38"/>
      <c r="AQ23" s="38"/>
      <c r="AR23" s="38"/>
      <c r="AS23" s="38"/>
      <c r="AT23" s="38"/>
      <c r="AU23" s="38"/>
      <c r="AV23" s="47"/>
      <c r="AW23" s="44"/>
      <c r="AX23" s="44"/>
      <c r="AY23" s="44"/>
      <c r="AZ23" s="44"/>
      <c r="BA23" s="44"/>
    </row>
    <row r="24" spans="1:53" ht="16.5" x14ac:dyDescent="0.25">
      <c r="A24" s="45">
        <v>23</v>
      </c>
      <c r="B24" s="38" t="s">
        <v>324</v>
      </c>
      <c r="C24" s="51">
        <v>42349</v>
      </c>
      <c r="D24" s="38" t="s">
        <v>319</v>
      </c>
      <c r="E24" s="38" t="s">
        <v>320</v>
      </c>
      <c r="F24" s="38" t="s">
        <v>325</v>
      </c>
      <c r="G24" s="38" t="s">
        <v>326</v>
      </c>
      <c r="H24" s="38" t="s">
        <v>327</v>
      </c>
      <c r="I24" s="38" t="s">
        <v>328</v>
      </c>
      <c r="J24" s="38">
        <v>2</v>
      </c>
      <c r="K24" s="38" t="s">
        <v>222</v>
      </c>
      <c r="L24" s="38">
        <v>50</v>
      </c>
      <c r="M24" s="38">
        <v>16</v>
      </c>
      <c r="N24" s="38"/>
      <c r="O24" s="46" t="s">
        <v>564</v>
      </c>
      <c r="P24" s="38">
        <v>60</v>
      </c>
      <c r="Q24" s="38">
        <f t="shared" si="2"/>
        <v>44</v>
      </c>
      <c r="R24" s="38">
        <v>2</v>
      </c>
      <c r="S24" s="38" t="s">
        <v>224</v>
      </c>
      <c r="T24" s="38">
        <v>1</v>
      </c>
      <c r="U24" s="38" t="str">
        <f t="shared" si="3"/>
        <v>Positive</v>
      </c>
      <c r="V24" s="47"/>
      <c r="Y24" s="44"/>
      <c r="AA24" s="45"/>
      <c r="AB24" s="38"/>
      <c r="AC24" s="51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46"/>
      <c r="AP24" s="38"/>
      <c r="AQ24" s="38"/>
      <c r="AR24" s="38"/>
      <c r="AS24" s="38"/>
      <c r="AT24" s="38"/>
      <c r="AU24" s="38"/>
      <c r="AV24" s="47"/>
      <c r="AW24" s="44"/>
      <c r="AX24" s="44"/>
      <c r="AY24" s="44"/>
      <c r="AZ24" s="44"/>
      <c r="BA24" s="44"/>
    </row>
    <row r="25" spans="1:53" ht="16.5" x14ac:dyDescent="0.25">
      <c r="A25" s="45">
        <v>24</v>
      </c>
      <c r="B25" s="38" t="s">
        <v>297</v>
      </c>
      <c r="C25" s="51">
        <v>42030</v>
      </c>
      <c r="D25" s="38" t="s">
        <v>319</v>
      </c>
      <c r="E25" s="38" t="s">
        <v>329</v>
      </c>
      <c r="F25" s="38" t="s">
        <v>330</v>
      </c>
      <c r="G25" s="38" t="s">
        <v>331</v>
      </c>
      <c r="H25" s="38" t="s">
        <v>332</v>
      </c>
      <c r="I25" s="38" t="s">
        <v>333</v>
      </c>
      <c r="J25" s="38">
        <v>2</v>
      </c>
      <c r="K25" s="38" t="s">
        <v>256</v>
      </c>
      <c r="L25" s="38">
        <v>30</v>
      </c>
      <c r="M25" s="38">
        <v>13</v>
      </c>
      <c r="N25" s="38"/>
      <c r="O25" s="46" t="s">
        <v>273</v>
      </c>
      <c r="P25" s="38">
        <v>60</v>
      </c>
      <c r="Q25" s="38">
        <f t="shared" si="2"/>
        <v>47</v>
      </c>
      <c r="R25" s="38">
        <v>30</v>
      </c>
      <c r="S25" s="38" t="s">
        <v>224</v>
      </c>
      <c r="T25" s="38">
        <v>1</v>
      </c>
      <c r="U25" s="38" t="str">
        <f t="shared" si="3"/>
        <v>Positive</v>
      </c>
      <c r="V25" s="47"/>
      <c r="Y25" s="44"/>
      <c r="AA25" s="45"/>
      <c r="AB25" s="38"/>
      <c r="AC25" s="51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62"/>
      <c r="AP25" s="38"/>
      <c r="AQ25" s="38"/>
      <c r="AR25" s="38"/>
      <c r="AS25" s="38"/>
      <c r="AT25" s="38"/>
      <c r="AU25" s="38"/>
      <c r="AV25" s="47"/>
      <c r="AW25" s="44"/>
      <c r="AX25" s="44"/>
      <c r="AY25" s="44"/>
      <c r="AZ25" s="44"/>
      <c r="BA25" s="44"/>
    </row>
    <row r="26" spans="1:53" ht="16.5" x14ac:dyDescent="0.25">
      <c r="A26" s="45">
        <v>25</v>
      </c>
      <c r="B26" s="38" t="s">
        <v>297</v>
      </c>
      <c r="C26" s="51">
        <v>42031</v>
      </c>
      <c r="D26" s="38" t="s">
        <v>319</v>
      </c>
      <c r="E26" s="38" t="s">
        <v>320</v>
      </c>
      <c r="F26" s="38" t="s">
        <v>321</v>
      </c>
      <c r="G26" s="38" t="s">
        <v>334</v>
      </c>
      <c r="H26" s="38" t="s">
        <v>335</v>
      </c>
      <c r="I26" s="38" t="s">
        <v>336</v>
      </c>
      <c r="J26" s="38">
        <v>2</v>
      </c>
      <c r="K26" s="38" t="s">
        <v>222</v>
      </c>
      <c r="L26" s="38">
        <v>25</v>
      </c>
      <c r="M26" s="38">
        <v>12</v>
      </c>
      <c r="N26" s="38"/>
      <c r="O26" s="46" t="s">
        <v>337</v>
      </c>
      <c r="P26" s="38">
        <v>45</v>
      </c>
      <c r="Q26" s="38">
        <f t="shared" si="2"/>
        <v>33</v>
      </c>
      <c r="R26" s="38">
        <v>2</v>
      </c>
      <c r="S26" s="38" t="s">
        <v>338</v>
      </c>
      <c r="T26" s="38">
        <v>1</v>
      </c>
      <c r="U26" s="38" t="str">
        <f t="shared" si="3"/>
        <v>Positive</v>
      </c>
      <c r="V26" s="47"/>
      <c r="Y26" s="44"/>
      <c r="AA26" s="45"/>
      <c r="AB26" s="38"/>
      <c r="AC26" s="51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46"/>
      <c r="AP26" s="38"/>
      <c r="AQ26" s="38"/>
      <c r="AR26" s="38"/>
      <c r="AS26" s="38"/>
      <c r="AT26" s="38"/>
      <c r="AU26" s="38"/>
      <c r="AV26" s="47"/>
      <c r="AW26" s="44"/>
      <c r="AX26" s="44"/>
      <c r="AY26" s="44"/>
      <c r="AZ26" s="44"/>
      <c r="BA26" s="44"/>
    </row>
    <row r="27" spans="1:53" ht="16.5" x14ac:dyDescent="0.25">
      <c r="A27" s="45">
        <v>26</v>
      </c>
      <c r="B27" s="38" t="s">
        <v>297</v>
      </c>
      <c r="C27" s="51">
        <v>42032</v>
      </c>
      <c r="D27" s="38" t="s">
        <v>319</v>
      </c>
      <c r="E27" s="38" t="s">
        <v>320</v>
      </c>
      <c r="F27" s="38" t="s">
        <v>321</v>
      </c>
      <c r="G27" s="38" t="s">
        <v>334</v>
      </c>
      <c r="H27" s="38" t="s">
        <v>339</v>
      </c>
      <c r="I27" s="38" t="s">
        <v>340</v>
      </c>
      <c r="J27" s="38">
        <v>2</v>
      </c>
      <c r="K27" s="38" t="s">
        <v>256</v>
      </c>
      <c r="L27" s="38">
        <v>15</v>
      </c>
      <c r="M27" s="38">
        <v>12</v>
      </c>
      <c r="N27" s="38"/>
      <c r="O27" s="46"/>
      <c r="P27" s="38">
        <v>40</v>
      </c>
      <c r="Q27" s="38">
        <f t="shared" si="2"/>
        <v>28</v>
      </c>
      <c r="R27" s="38">
        <v>7.5</v>
      </c>
      <c r="S27" s="38" t="s">
        <v>341</v>
      </c>
      <c r="T27" s="38">
        <v>1</v>
      </c>
      <c r="U27" s="38" t="str">
        <f t="shared" si="3"/>
        <v>Positive</v>
      </c>
      <c r="V27" s="47"/>
      <c r="Y27" s="44"/>
      <c r="AA27" s="45"/>
      <c r="AB27" s="38"/>
      <c r="AC27" s="51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46"/>
      <c r="AP27" s="38"/>
      <c r="AQ27" s="38"/>
      <c r="AR27" s="38"/>
      <c r="AS27" s="38"/>
      <c r="AT27" s="38"/>
      <c r="AU27" s="38"/>
      <c r="AV27" s="47"/>
      <c r="AW27" s="44"/>
      <c r="AX27" s="44"/>
      <c r="AY27" s="44"/>
      <c r="AZ27" s="44"/>
      <c r="BA27" s="44"/>
    </row>
    <row r="28" spans="1:53" ht="16.5" x14ac:dyDescent="0.25">
      <c r="A28" s="45">
        <v>27</v>
      </c>
      <c r="B28" s="38"/>
      <c r="C28" s="51"/>
      <c r="D28" s="38" t="s">
        <v>216</v>
      </c>
      <c r="E28" s="38" t="s">
        <v>342</v>
      </c>
      <c r="F28" s="38" t="s">
        <v>342</v>
      </c>
      <c r="G28" s="38" t="s">
        <v>342</v>
      </c>
      <c r="H28" s="38" t="s">
        <v>343</v>
      </c>
      <c r="I28" s="38" t="s">
        <v>344</v>
      </c>
      <c r="J28" s="38">
        <v>1</v>
      </c>
      <c r="K28" s="38" t="s">
        <v>222</v>
      </c>
      <c r="L28" s="38">
        <v>5</v>
      </c>
      <c r="M28" s="38">
        <v>45</v>
      </c>
      <c r="N28" s="38"/>
      <c r="O28" s="46" t="s">
        <v>345</v>
      </c>
      <c r="P28" s="38">
        <v>47.1</v>
      </c>
      <c r="Q28" s="38">
        <f t="shared" si="2"/>
        <v>2.1000000000000014</v>
      </c>
      <c r="R28" s="38">
        <v>8.5</v>
      </c>
      <c r="S28" s="38">
        <v>40</v>
      </c>
      <c r="T28" s="38">
        <v>1</v>
      </c>
      <c r="U28" s="38" t="str">
        <f t="shared" si="3"/>
        <v>Positive</v>
      </c>
      <c r="V28" s="47"/>
      <c r="Y28" s="44"/>
      <c r="AA28" s="45"/>
      <c r="AB28" s="38"/>
      <c r="AC28" s="51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46"/>
      <c r="AP28" s="38"/>
      <c r="AQ28" s="38"/>
      <c r="AR28" s="38"/>
      <c r="AS28" s="38"/>
      <c r="AT28" s="38"/>
      <c r="AU28" s="38"/>
      <c r="AV28" s="47"/>
      <c r="AW28" s="44"/>
      <c r="AX28" s="44"/>
      <c r="AY28" s="44"/>
      <c r="AZ28" s="44"/>
      <c r="BA28" s="44"/>
    </row>
    <row r="29" spans="1:53" ht="16.5" x14ac:dyDescent="0.25">
      <c r="A29" s="45">
        <v>28</v>
      </c>
      <c r="B29" s="38" t="s">
        <v>318</v>
      </c>
      <c r="C29" s="51">
        <v>42027</v>
      </c>
      <c r="D29" s="38" t="s">
        <v>298</v>
      </c>
      <c r="E29" s="38" t="s">
        <v>306</v>
      </c>
      <c r="F29" s="38" t="s">
        <v>346</v>
      </c>
      <c r="G29" s="38" t="s">
        <v>347</v>
      </c>
      <c r="H29" s="38" t="s">
        <v>348</v>
      </c>
      <c r="I29" s="38" t="s">
        <v>349</v>
      </c>
      <c r="J29" s="38">
        <v>3</v>
      </c>
      <c r="K29" s="38" t="s">
        <v>222</v>
      </c>
      <c r="L29" s="38">
        <v>7</v>
      </c>
      <c r="M29" s="38">
        <v>17.34</v>
      </c>
      <c r="N29" s="38"/>
      <c r="O29" s="46" t="s">
        <v>350</v>
      </c>
      <c r="P29" s="38">
        <v>70.84</v>
      </c>
      <c r="Q29" s="38">
        <f t="shared" si="2"/>
        <v>53.5</v>
      </c>
      <c r="R29" s="38">
        <v>2</v>
      </c>
      <c r="S29" s="38" t="s">
        <v>351</v>
      </c>
      <c r="T29" s="38">
        <v>1</v>
      </c>
      <c r="U29" s="38" t="str">
        <f t="shared" si="3"/>
        <v>Positive</v>
      </c>
      <c r="V29" s="47"/>
      <c r="Y29" s="44"/>
      <c r="AA29" s="45"/>
      <c r="AB29" s="38"/>
      <c r="AC29" s="51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46"/>
      <c r="AP29" s="38"/>
      <c r="AQ29" s="38"/>
      <c r="AR29" s="38"/>
      <c r="AS29" s="38"/>
      <c r="AT29" s="38"/>
      <c r="AU29" s="38"/>
      <c r="AV29" s="47"/>
      <c r="AW29" s="44"/>
      <c r="AX29" s="44"/>
      <c r="AY29" s="44"/>
      <c r="AZ29" s="44"/>
      <c r="BA29" s="44"/>
    </row>
    <row r="30" spans="1:53" ht="16.5" x14ac:dyDescent="0.25">
      <c r="A30" s="45">
        <v>29</v>
      </c>
      <c r="B30" s="38" t="s">
        <v>318</v>
      </c>
      <c r="C30" s="51">
        <v>42029</v>
      </c>
      <c r="D30" s="38" t="s">
        <v>298</v>
      </c>
      <c r="E30" s="38" t="s">
        <v>306</v>
      </c>
      <c r="F30" s="38" t="s">
        <v>346</v>
      </c>
      <c r="G30" s="38" t="s">
        <v>347</v>
      </c>
      <c r="H30" s="38" t="s">
        <v>348</v>
      </c>
      <c r="I30" s="38" t="s">
        <v>352</v>
      </c>
      <c r="J30" s="38">
        <v>2</v>
      </c>
      <c r="K30" s="38" t="s">
        <v>222</v>
      </c>
      <c r="L30" s="38">
        <v>15</v>
      </c>
      <c r="M30" s="38">
        <v>12.74</v>
      </c>
      <c r="N30" s="38"/>
      <c r="O30" s="46" t="s">
        <v>350</v>
      </c>
      <c r="P30" s="38">
        <v>73</v>
      </c>
      <c r="Q30" s="38">
        <f t="shared" si="2"/>
        <v>60.26</v>
      </c>
      <c r="R30" s="38">
        <v>4</v>
      </c>
      <c r="S30" s="38" t="s">
        <v>224</v>
      </c>
      <c r="T30" s="38">
        <v>1</v>
      </c>
      <c r="U30" s="38" t="str">
        <f t="shared" si="3"/>
        <v>Positive</v>
      </c>
      <c r="V30" s="47"/>
      <c r="Y30" s="44"/>
      <c r="AA30" s="45"/>
      <c r="AB30" s="38"/>
      <c r="AC30" s="51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46"/>
      <c r="AP30" s="38"/>
      <c r="AQ30" s="38"/>
      <c r="AR30" s="38"/>
      <c r="AS30" s="38"/>
      <c r="AT30" s="38"/>
      <c r="AU30" s="38"/>
      <c r="AV30" s="47"/>
      <c r="AW30" s="44"/>
      <c r="AX30" s="44"/>
      <c r="AY30" s="44"/>
      <c r="AZ30" s="44"/>
      <c r="BA30" s="44"/>
    </row>
    <row r="31" spans="1:53" ht="16.5" x14ac:dyDescent="0.25">
      <c r="A31" s="45">
        <v>30</v>
      </c>
      <c r="B31" s="38" t="s">
        <v>318</v>
      </c>
      <c r="C31" s="51">
        <v>42031</v>
      </c>
      <c r="D31" s="38" t="s">
        <v>298</v>
      </c>
      <c r="E31" s="38" t="s">
        <v>306</v>
      </c>
      <c r="F31" s="38" t="s">
        <v>346</v>
      </c>
      <c r="G31" s="38" t="s">
        <v>347</v>
      </c>
      <c r="H31" s="38" t="s">
        <v>348</v>
      </c>
      <c r="I31" s="38" t="s">
        <v>353</v>
      </c>
      <c r="J31" s="38">
        <v>2</v>
      </c>
      <c r="K31" s="38" t="s">
        <v>256</v>
      </c>
      <c r="L31" s="38">
        <v>70</v>
      </c>
      <c r="M31" s="38"/>
      <c r="N31" s="38"/>
      <c r="O31" s="46" t="s">
        <v>354</v>
      </c>
      <c r="P31" s="38">
        <v>50</v>
      </c>
      <c r="Q31" s="47" t="s">
        <v>355</v>
      </c>
      <c r="R31" s="63"/>
      <c r="S31" s="63"/>
      <c r="T31" s="63"/>
      <c r="U31" s="63"/>
      <c r="V31" s="63"/>
      <c r="Y31" s="44"/>
      <c r="AA31" s="45"/>
      <c r="AB31" s="38"/>
      <c r="AC31" s="51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46"/>
      <c r="AP31" s="38"/>
      <c r="AQ31" s="38"/>
      <c r="AR31" s="38"/>
      <c r="AS31" s="38"/>
      <c r="AT31" s="38"/>
      <c r="AU31" s="38"/>
      <c r="AV31" s="47"/>
      <c r="AW31" s="44"/>
      <c r="AX31" s="44"/>
      <c r="AY31" s="44"/>
      <c r="AZ31" s="44"/>
      <c r="BA31" s="44"/>
    </row>
    <row r="32" spans="1:53" ht="16.5" x14ac:dyDescent="0.25">
      <c r="A32" s="45">
        <v>31</v>
      </c>
      <c r="B32" s="38" t="s">
        <v>356</v>
      </c>
      <c r="C32" s="51">
        <v>42354</v>
      </c>
      <c r="D32" s="38" t="s">
        <v>264</v>
      </c>
      <c r="E32" s="38" t="s">
        <v>265</v>
      </c>
      <c r="F32" s="38" t="s">
        <v>266</v>
      </c>
      <c r="G32" s="38" t="s">
        <v>267</v>
      </c>
      <c r="H32" s="38" t="s">
        <v>357</v>
      </c>
      <c r="I32" s="38" t="s">
        <v>358</v>
      </c>
      <c r="J32" s="38">
        <v>3</v>
      </c>
      <c r="K32" s="38" t="s">
        <v>222</v>
      </c>
      <c r="L32" s="38">
        <v>45</v>
      </c>
      <c r="M32" s="38"/>
      <c r="N32" s="38"/>
      <c r="O32" s="46" t="s">
        <v>359</v>
      </c>
      <c r="P32" s="38"/>
      <c r="Q32" s="38" t="s">
        <v>360</v>
      </c>
      <c r="R32" s="38"/>
      <c r="S32" s="38"/>
      <c r="T32" s="38"/>
      <c r="U32" s="38"/>
      <c r="V32" s="47"/>
      <c r="Y32" s="44"/>
      <c r="AA32" s="45"/>
      <c r="AB32" s="38"/>
      <c r="AC32" s="51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46"/>
      <c r="AP32" s="38"/>
      <c r="AQ32" s="38"/>
      <c r="AR32" s="38"/>
      <c r="AS32" s="38"/>
      <c r="AT32" s="38"/>
      <c r="AU32" s="38"/>
      <c r="AV32" s="47"/>
      <c r="AW32" s="44"/>
      <c r="AX32" s="44"/>
      <c r="AY32" s="44"/>
      <c r="AZ32" s="44"/>
      <c r="BA32" s="44"/>
    </row>
    <row r="33" spans="1:53" ht="16.5" x14ac:dyDescent="0.25">
      <c r="A33" s="45">
        <v>32</v>
      </c>
      <c r="B33" s="38" t="s">
        <v>361</v>
      </c>
      <c r="C33" s="51">
        <v>42510</v>
      </c>
      <c r="D33" s="38" t="s">
        <v>362</v>
      </c>
      <c r="E33" s="38" t="s">
        <v>363</v>
      </c>
      <c r="F33" s="38" t="s">
        <v>364</v>
      </c>
      <c r="G33" s="38" t="s">
        <v>365</v>
      </c>
      <c r="H33" s="38" t="s">
        <v>366</v>
      </c>
      <c r="I33" s="38" t="s">
        <v>367</v>
      </c>
      <c r="J33" s="38">
        <v>6</v>
      </c>
      <c r="K33" s="38" t="s">
        <v>368</v>
      </c>
      <c r="L33" s="38">
        <v>30</v>
      </c>
      <c r="M33" s="38">
        <v>14.26</v>
      </c>
      <c r="N33" s="38"/>
      <c r="O33" s="62" t="s">
        <v>369</v>
      </c>
      <c r="P33" s="38">
        <v>79.790000000000006</v>
      </c>
      <c r="Q33" s="38">
        <f t="shared" ref="Q33:Q39" si="4">P33-M33</f>
        <v>65.53</v>
      </c>
      <c r="R33" s="38">
        <v>9</v>
      </c>
      <c r="S33" s="38" t="s">
        <v>370</v>
      </c>
      <c r="T33" s="38">
        <v>1</v>
      </c>
      <c r="U33" s="38" t="str">
        <f t="shared" ref="U33:U66" si="5">IF(R33&gt;=T33,"Positive","Negative")</f>
        <v>Positive</v>
      </c>
      <c r="V33" s="47"/>
      <c r="Y33" s="44"/>
      <c r="AA33" s="45"/>
      <c r="AB33" s="38"/>
      <c r="AC33" s="51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46"/>
      <c r="AP33" s="38"/>
      <c r="AQ33" s="38"/>
      <c r="AR33" s="38"/>
      <c r="AS33" s="38"/>
      <c r="AT33" s="38"/>
      <c r="AU33" s="38"/>
      <c r="AV33" s="47"/>
      <c r="AW33" s="44"/>
      <c r="AX33" s="44"/>
      <c r="AY33" s="44"/>
      <c r="AZ33" s="44"/>
      <c r="BA33" s="44"/>
    </row>
    <row r="34" spans="1:53" ht="16.5" x14ac:dyDescent="0.25">
      <c r="A34" s="45">
        <v>33</v>
      </c>
      <c r="B34" s="38" t="s">
        <v>361</v>
      </c>
      <c r="C34" s="51">
        <v>42511</v>
      </c>
      <c r="D34" s="38" t="s">
        <v>362</v>
      </c>
      <c r="E34" s="38" t="s">
        <v>363</v>
      </c>
      <c r="F34" s="38" t="s">
        <v>364</v>
      </c>
      <c r="G34" s="38" t="s">
        <v>365</v>
      </c>
      <c r="H34" s="38" t="s">
        <v>366</v>
      </c>
      <c r="I34" s="38" t="s">
        <v>371</v>
      </c>
      <c r="J34" s="38">
        <v>6</v>
      </c>
      <c r="K34" s="38" t="s">
        <v>372</v>
      </c>
      <c r="L34" s="38">
        <v>35</v>
      </c>
      <c r="M34" s="38">
        <v>15.81</v>
      </c>
      <c r="N34" s="38"/>
      <c r="O34" s="46" t="s">
        <v>561</v>
      </c>
      <c r="P34" s="38">
        <v>67.459999999999994</v>
      </c>
      <c r="Q34" s="38">
        <f t="shared" si="4"/>
        <v>51.649999999999991</v>
      </c>
      <c r="R34" s="38">
        <v>18</v>
      </c>
      <c r="S34" s="38" t="s">
        <v>373</v>
      </c>
      <c r="T34" s="38">
        <v>1</v>
      </c>
      <c r="U34" s="38" t="str">
        <f t="shared" si="5"/>
        <v>Positive</v>
      </c>
      <c r="V34" s="47"/>
      <c r="Y34" s="44"/>
      <c r="AA34" s="45"/>
      <c r="AB34" s="38"/>
      <c r="AC34" s="51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46"/>
      <c r="AP34" s="38"/>
      <c r="AQ34" s="38"/>
      <c r="AR34" s="38"/>
      <c r="AS34" s="38"/>
      <c r="AT34" s="38"/>
      <c r="AU34" s="38"/>
      <c r="AV34" s="47"/>
      <c r="AW34" s="44"/>
      <c r="AX34" s="44"/>
      <c r="AY34" s="44"/>
      <c r="AZ34" s="44"/>
      <c r="BA34" s="44"/>
    </row>
    <row r="35" spans="1:53" ht="16.5" x14ac:dyDescent="0.25">
      <c r="A35" s="45">
        <v>34</v>
      </c>
      <c r="B35" s="38" t="s">
        <v>361</v>
      </c>
      <c r="C35" s="51">
        <v>42512</v>
      </c>
      <c r="D35" s="38" t="s">
        <v>362</v>
      </c>
      <c r="E35" s="38" t="s">
        <v>363</v>
      </c>
      <c r="F35" s="38" t="s">
        <v>364</v>
      </c>
      <c r="G35" s="38" t="s">
        <v>365</v>
      </c>
      <c r="H35" s="38" t="s">
        <v>374</v>
      </c>
      <c r="I35" s="38" t="s">
        <v>375</v>
      </c>
      <c r="J35" s="38">
        <v>5</v>
      </c>
      <c r="K35" s="38" t="s">
        <v>376</v>
      </c>
      <c r="L35" s="38">
        <v>50</v>
      </c>
      <c r="M35" s="38">
        <v>36</v>
      </c>
      <c r="N35" s="38"/>
      <c r="O35" s="46" t="s">
        <v>567</v>
      </c>
      <c r="P35" s="38">
        <v>85.57</v>
      </c>
      <c r="Q35" s="38">
        <f t="shared" si="4"/>
        <v>49.569999999999993</v>
      </c>
      <c r="R35" s="38">
        <v>12</v>
      </c>
      <c r="S35" s="38" t="s">
        <v>377</v>
      </c>
      <c r="T35" s="38">
        <v>1</v>
      </c>
      <c r="U35" s="38" t="str">
        <f t="shared" si="5"/>
        <v>Positive</v>
      </c>
      <c r="V35" s="47"/>
      <c r="Y35" s="44"/>
      <c r="AA35" s="45"/>
      <c r="AB35" s="38"/>
      <c r="AC35" s="51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46"/>
      <c r="AP35" s="38"/>
      <c r="AQ35" s="38"/>
      <c r="AR35" s="38"/>
      <c r="AS35" s="38"/>
      <c r="AT35" s="38"/>
      <c r="AU35" s="38"/>
      <c r="AV35" s="47"/>
      <c r="AW35" s="44"/>
      <c r="AX35" s="44"/>
      <c r="AY35" s="44"/>
      <c r="AZ35" s="44"/>
      <c r="BA35" s="44"/>
    </row>
    <row r="36" spans="1:53" ht="16.5" x14ac:dyDescent="0.25">
      <c r="A36" s="45">
        <v>35</v>
      </c>
      <c r="B36" s="38" t="s">
        <v>361</v>
      </c>
      <c r="C36" s="51">
        <v>42513</v>
      </c>
      <c r="D36" s="38" t="s">
        <v>362</v>
      </c>
      <c r="E36" s="38" t="s">
        <v>363</v>
      </c>
      <c r="F36" s="38" t="s">
        <v>364</v>
      </c>
      <c r="G36" s="38" t="s">
        <v>365</v>
      </c>
      <c r="H36" s="38" t="s">
        <v>374</v>
      </c>
      <c r="I36" s="38" t="s">
        <v>375</v>
      </c>
      <c r="J36" s="38">
        <v>5</v>
      </c>
      <c r="K36" s="38" t="s">
        <v>378</v>
      </c>
      <c r="L36" s="38">
        <v>40</v>
      </c>
      <c r="M36" s="38">
        <v>24.42</v>
      </c>
      <c r="N36" s="38"/>
      <c r="O36" s="46" t="s">
        <v>379</v>
      </c>
      <c r="P36" s="38">
        <v>79.540000000000006</v>
      </c>
      <c r="Q36" s="38">
        <f t="shared" si="4"/>
        <v>55.120000000000005</v>
      </c>
      <c r="R36" s="38">
        <v>10.8</v>
      </c>
      <c r="S36" s="38" t="s">
        <v>380</v>
      </c>
      <c r="T36" s="38">
        <v>1</v>
      </c>
      <c r="U36" s="38" t="str">
        <f t="shared" si="5"/>
        <v>Positive</v>
      </c>
      <c r="V36" s="47"/>
      <c r="Y36" s="44"/>
      <c r="AA36" s="45"/>
      <c r="AB36" s="38"/>
      <c r="AC36" s="51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46"/>
      <c r="AP36" s="38"/>
      <c r="AQ36" s="38"/>
      <c r="AR36" s="38"/>
      <c r="AS36" s="38"/>
      <c r="AT36" s="38"/>
      <c r="AU36" s="38"/>
      <c r="AV36" s="47"/>
      <c r="AW36" s="44"/>
      <c r="AX36" s="44"/>
      <c r="AY36" s="44"/>
      <c r="AZ36" s="44"/>
      <c r="BA36" s="44"/>
    </row>
    <row r="37" spans="1:53" ht="16.5" x14ac:dyDescent="0.25">
      <c r="A37" s="45">
        <v>36</v>
      </c>
      <c r="B37" s="38" t="s">
        <v>318</v>
      </c>
      <c r="C37" s="51">
        <v>42550</v>
      </c>
      <c r="D37" s="38" t="s">
        <v>216</v>
      </c>
      <c r="E37" s="38" t="s">
        <v>217</v>
      </c>
      <c r="F37" s="38" t="s">
        <v>218</v>
      </c>
      <c r="G37" s="38" t="s">
        <v>219</v>
      </c>
      <c r="H37" s="38" t="s">
        <v>381</v>
      </c>
      <c r="I37" s="38" t="s">
        <v>382</v>
      </c>
      <c r="J37" s="38"/>
      <c r="K37" s="38" t="s">
        <v>222</v>
      </c>
      <c r="L37" s="38"/>
      <c r="M37" s="38">
        <v>38.549999999999997</v>
      </c>
      <c r="N37" s="38"/>
      <c r="O37" s="46"/>
      <c r="P37" s="38">
        <v>72.2</v>
      </c>
      <c r="Q37" s="38">
        <f t="shared" si="4"/>
        <v>33.650000000000006</v>
      </c>
      <c r="R37" s="38">
        <v>15</v>
      </c>
      <c r="S37" s="38" t="s">
        <v>224</v>
      </c>
      <c r="T37" s="38">
        <v>1</v>
      </c>
      <c r="U37" s="38" t="str">
        <f t="shared" si="5"/>
        <v>Positive</v>
      </c>
      <c r="V37" s="47"/>
      <c r="Y37" s="44"/>
      <c r="AA37" s="45"/>
      <c r="AB37" s="38"/>
      <c r="AC37" s="51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46"/>
      <c r="AP37" s="38"/>
      <c r="AQ37" s="38"/>
      <c r="AR37" s="38"/>
      <c r="AS37" s="38"/>
      <c r="AT37" s="38"/>
      <c r="AU37" s="38"/>
      <c r="AV37" s="47"/>
      <c r="AW37" s="44"/>
      <c r="AX37" s="44"/>
      <c r="AY37" s="44"/>
      <c r="AZ37" s="44"/>
      <c r="BA37" s="44"/>
    </row>
    <row r="38" spans="1:53" ht="16.5" x14ac:dyDescent="0.25">
      <c r="A38" s="45">
        <v>37</v>
      </c>
      <c r="B38" s="38" t="s">
        <v>318</v>
      </c>
      <c r="C38" s="51">
        <v>42551</v>
      </c>
      <c r="D38" s="38" t="s">
        <v>216</v>
      </c>
      <c r="E38" s="38" t="s">
        <v>217</v>
      </c>
      <c r="F38" s="38" t="s">
        <v>218</v>
      </c>
      <c r="G38" s="38" t="s">
        <v>219</v>
      </c>
      <c r="H38" s="38" t="s">
        <v>381</v>
      </c>
      <c r="I38" s="38" t="s">
        <v>383</v>
      </c>
      <c r="J38" s="38"/>
      <c r="K38" s="38" t="s">
        <v>222</v>
      </c>
      <c r="L38" s="38"/>
      <c r="M38" s="38">
        <v>42.6</v>
      </c>
      <c r="N38" s="38"/>
      <c r="O38" s="46"/>
      <c r="P38" s="38">
        <v>91.46</v>
      </c>
      <c r="Q38" s="38">
        <f t="shared" si="4"/>
        <v>48.859999999999992</v>
      </c>
      <c r="R38" s="38">
        <v>4.5</v>
      </c>
      <c r="S38" s="38" t="s">
        <v>224</v>
      </c>
      <c r="T38" s="38">
        <v>1</v>
      </c>
      <c r="U38" s="38" t="str">
        <f t="shared" si="5"/>
        <v>Positive</v>
      </c>
      <c r="V38" s="47"/>
      <c r="Y38" s="44"/>
      <c r="AA38" s="45"/>
      <c r="AB38" s="38"/>
      <c r="AC38" s="51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46"/>
      <c r="AP38" s="38"/>
      <c r="AQ38" s="38"/>
      <c r="AR38" s="38"/>
      <c r="AS38" s="38"/>
      <c r="AT38" s="38"/>
      <c r="AU38" s="38"/>
      <c r="AV38" s="47"/>
      <c r="AW38" s="44"/>
      <c r="AX38" s="44"/>
      <c r="AY38" s="44"/>
      <c r="AZ38" s="44"/>
      <c r="BA38" s="44"/>
    </row>
    <row r="39" spans="1:53" ht="16.5" x14ac:dyDescent="0.25">
      <c r="A39" s="45">
        <v>38</v>
      </c>
      <c r="B39" s="38" t="s">
        <v>318</v>
      </c>
      <c r="C39" s="51">
        <v>42615</v>
      </c>
      <c r="D39" s="38" t="s">
        <v>298</v>
      </c>
      <c r="E39" s="38" t="s">
        <v>306</v>
      </c>
      <c r="F39" s="38" t="s">
        <v>346</v>
      </c>
      <c r="G39" s="38" t="s">
        <v>347</v>
      </c>
      <c r="H39" s="38" t="s">
        <v>348</v>
      </c>
      <c r="I39" s="38" t="s">
        <v>384</v>
      </c>
      <c r="J39" s="38">
        <v>2</v>
      </c>
      <c r="K39" s="38" t="s">
        <v>222</v>
      </c>
      <c r="L39" s="38">
        <v>35</v>
      </c>
      <c r="M39" s="38">
        <v>30</v>
      </c>
      <c r="N39" s="38"/>
      <c r="O39" s="46" t="s">
        <v>385</v>
      </c>
      <c r="P39" s="38">
        <v>83</v>
      </c>
      <c r="Q39" s="38">
        <f t="shared" si="4"/>
        <v>53</v>
      </c>
      <c r="R39" s="38">
        <v>3</v>
      </c>
      <c r="S39" s="38" t="s">
        <v>224</v>
      </c>
      <c r="T39" s="38">
        <v>1</v>
      </c>
      <c r="U39" s="38" t="str">
        <f t="shared" si="5"/>
        <v>Positive</v>
      </c>
      <c r="V39" s="47"/>
      <c r="Y39" s="44"/>
      <c r="AA39" s="45"/>
      <c r="AB39" s="38"/>
      <c r="AC39" s="51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46"/>
      <c r="AP39" s="38"/>
      <c r="AQ39" s="38"/>
      <c r="AR39" s="38"/>
      <c r="AS39" s="38"/>
      <c r="AT39" s="38"/>
      <c r="AU39" s="38"/>
      <c r="AV39" s="47"/>
      <c r="AW39" s="44"/>
      <c r="AX39" s="44"/>
      <c r="AY39" s="44"/>
      <c r="AZ39" s="44"/>
      <c r="BA39" s="44"/>
    </row>
    <row r="40" spans="1:53" ht="16.5" x14ac:dyDescent="0.25">
      <c r="A40" s="45">
        <v>39</v>
      </c>
      <c r="B40" s="38" t="s">
        <v>318</v>
      </c>
      <c r="C40" s="51">
        <v>42616</v>
      </c>
      <c r="D40" s="38" t="s">
        <v>298</v>
      </c>
      <c r="E40" s="38" t="s">
        <v>306</v>
      </c>
      <c r="F40" s="38" t="s">
        <v>346</v>
      </c>
      <c r="G40" s="38" t="s">
        <v>347</v>
      </c>
      <c r="H40" s="38" t="s">
        <v>348</v>
      </c>
      <c r="I40" s="38" t="s">
        <v>386</v>
      </c>
      <c r="J40" s="38">
        <v>3</v>
      </c>
      <c r="K40" s="38" t="s">
        <v>222</v>
      </c>
      <c r="L40" s="38">
        <v>50</v>
      </c>
      <c r="M40" s="38"/>
      <c r="N40" s="38"/>
      <c r="O40" s="46" t="s">
        <v>387</v>
      </c>
      <c r="P40" s="64" t="s">
        <v>603</v>
      </c>
      <c r="Q40" s="64" t="s">
        <v>603</v>
      </c>
      <c r="R40" s="64" t="s">
        <v>603</v>
      </c>
      <c r="S40" s="64" t="s">
        <v>603</v>
      </c>
      <c r="T40" s="64" t="s">
        <v>603</v>
      </c>
      <c r="U40" s="64" t="s">
        <v>603</v>
      </c>
      <c r="V40" s="60"/>
      <c r="Y40" s="44"/>
      <c r="AA40" s="45"/>
      <c r="AB40" s="38"/>
      <c r="AC40" s="51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46"/>
      <c r="AP40" s="38"/>
      <c r="AQ40" s="38"/>
      <c r="AR40" s="38"/>
      <c r="AS40" s="38"/>
      <c r="AT40" s="38"/>
      <c r="AU40" s="38"/>
      <c r="AV40" s="47"/>
      <c r="AW40" s="44"/>
      <c r="AX40" s="44"/>
      <c r="AY40" s="44"/>
      <c r="AZ40" s="44"/>
      <c r="BA40" s="44"/>
    </row>
    <row r="41" spans="1:53" ht="16.5" x14ac:dyDescent="0.25">
      <c r="A41" s="45">
        <v>40</v>
      </c>
      <c r="B41" s="38" t="s">
        <v>361</v>
      </c>
      <c r="C41" s="51">
        <v>42544</v>
      </c>
      <c r="D41" s="38" t="s">
        <v>388</v>
      </c>
      <c r="E41" s="38" t="s">
        <v>389</v>
      </c>
      <c r="F41" s="38" t="s">
        <v>390</v>
      </c>
      <c r="G41" s="38" t="s">
        <v>391</v>
      </c>
      <c r="H41" s="38" t="s">
        <v>392</v>
      </c>
      <c r="I41" s="38" t="s">
        <v>393</v>
      </c>
      <c r="J41" s="38">
        <v>2</v>
      </c>
      <c r="K41" s="38" t="s">
        <v>222</v>
      </c>
      <c r="L41" s="38">
        <v>50</v>
      </c>
      <c r="M41" s="38">
        <v>4.0999999999999996</v>
      </c>
      <c r="N41" s="38"/>
      <c r="O41" s="46" t="s">
        <v>561</v>
      </c>
      <c r="P41" s="38">
        <v>55</v>
      </c>
      <c r="Q41" s="38">
        <f>P41-M41</f>
        <v>50.9</v>
      </c>
      <c r="R41" s="38">
        <v>22</v>
      </c>
      <c r="S41" s="38" t="s">
        <v>224</v>
      </c>
      <c r="T41" s="38">
        <v>1</v>
      </c>
      <c r="U41" s="38" t="str">
        <f t="shared" si="5"/>
        <v>Positive</v>
      </c>
      <c r="V41" s="47"/>
      <c r="Y41" s="44"/>
      <c r="AA41" s="45"/>
      <c r="AB41" s="38"/>
      <c r="AC41" s="51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46"/>
      <c r="AP41" s="38"/>
      <c r="AQ41" s="38"/>
      <c r="AR41" s="38"/>
      <c r="AS41" s="38"/>
      <c r="AT41" s="38"/>
      <c r="AU41" s="38"/>
      <c r="AV41" s="47"/>
      <c r="AW41" s="44"/>
      <c r="AX41" s="44"/>
      <c r="AY41" s="44"/>
      <c r="AZ41" s="44"/>
      <c r="BA41" s="44"/>
    </row>
    <row r="42" spans="1:53" ht="16.5" x14ac:dyDescent="0.25">
      <c r="A42" s="45">
        <v>41</v>
      </c>
      <c r="B42" s="38" t="s">
        <v>361</v>
      </c>
      <c r="C42" s="51">
        <v>42619</v>
      </c>
      <c r="D42" s="38" t="s">
        <v>388</v>
      </c>
      <c r="E42" s="38" t="s">
        <v>389</v>
      </c>
      <c r="F42" s="38" t="s">
        <v>390</v>
      </c>
      <c r="G42" s="38" t="s">
        <v>391</v>
      </c>
      <c r="H42" s="38" t="s">
        <v>392</v>
      </c>
      <c r="I42" s="38" t="s">
        <v>394</v>
      </c>
      <c r="J42" s="38">
        <v>2</v>
      </c>
      <c r="K42" s="38" t="s">
        <v>256</v>
      </c>
      <c r="L42" s="38">
        <v>25</v>
      </c>
      <c r="M42" s="38">
        <v>5</v>
      </c>
      <c r="N42" s="38"/>
      <c r="O42" s="46" t="s">
        <v>562</v>
      </c>
      <c r="P42" s="38">
        <v>55</v>
      </c>
      <c r="Q42" s="38">
        <f>P42-M42</f>
        <v>50</v>
      </c>
      <c r="R42" s="38">
        <v>36</v>
      </c>
      <c r="S42" s="38" t="s">
        <v>224</v>
      </c>
      <c r="T42" s="38">
        <v>1</v>
      </c>
      <c r="U42" s="38" t="str">
        <f t="shared" si="5"/>
        <v>Positive</v>
      </c>
      <c r="V42" s="47"/>
      <c r="Y42" s="44"/>
      <c r="AA42" s="45"/>
      <c r="AB42" s="38"/>
      <c r="AC42" s="51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46"/>
      <c r="AP42" s="38"/>
      <c r="AQ42" s="38"/>
      <c r="AR42" s="38"/>
      <c r="AS42" s="38"/>
      <c r="AT42" s="38"/>
      <c r="AU42" s="38"/>
      <c r="AV42" s="47"/>
      <c r="AW42" s="44"/>
      <c r="AX42" s="44"/>
      <c r="AY42" s="44"/>
      <c r="AZ42" s="44"/>
      <c r="BA42" s="44"/>
    </row>
    <row r="43" spans="1:53" ht="16.5" x14ac:dyDescent="0.25">
      <c r="A43" s="45">
        <v>42</v>
      </c>
      <c r="B43" s="38" t="s">
        <v>361</v>
      </c>
      <c r="C43" s="51">
        <v>42545</v>
      </c>
      <c r="D43" s="38" t="s">
        <v>216</v>
      </c>
      <c r="E43" s="38" t="s">
        <v>217</v>
      </c>
      <c r="F43" s="38" t="s">
        <v>218</v>
      </c>
      <c r="G43" s="38" t="s">
        <v>237</v>
      </c>
      <c r="H43" s="38" t="s">
        <v>395</v>
      </c>
      <c r="I43" s="38" t="s">
        <v>396</v>
      </c>
      <c r="J43" s="38">
        <v>3</v>
      </c>
      <c r="K43" s="38" t="s">
        <v>256</v>
      </c>
      <c r="L43" s="38">
        <v>35</v>
      </c>
      <c r="M43" s="38">
        <v>5.13</v>
      </c>
      <c r="N43" s="38"/>
      <c r="O43" s="46" t="s">
        <v>568</v>
      </c>
      <c r="P43" s="38">
        <v>81.19</v>
      </c>
      <c r="Q43" s="38">
        <f>P43-M43</f>
        <v>76.06</v>
      </c>
      <c r="R43" s="38">
        <v>25</v>
      </c>
      <c r="S43" s="38" t="s">
        <v>224</v>
      </c>
      <c r="T43" s="38">
        <v>1</v>
      </c>
      <c r="U43" s="38" t="str">
        <f t="shared" si="5"/>
        <v>Positive</v>
      </c>
      <c r="V43" s="47"/>
      <c r="Y43" s="44"/>
      <c r="AA43" s="45"/>
      <c r="AB43" s="38"/>
      <c r="AC43" s="51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46"/>
      <c r="AP43" s="38"/>
      <c r="AQ43" s="38"/>
      <c r="AR43" s="38"/>
      <c r="AS43" s="38"/>
      <c r="AT43" s="38"/>
      <c r="AU43" s="38"/>
      <c r="AV43" s="47"/>
      <c r="AW43" s="44"/>
      <c r="AX43" s="44"/>
      <c r="AY43" s="44"/>
      <c r="AZ43" s="44"/>
      <c r="BA43" s="44"/>
    </row>
    <row r="44" spans="1:53" ht="16.5" x14ac:dyDescent="0.25">
      <c r="A44" s="45">
        <v>43</v>
      </c>
      <c r="B44" s="38" t="s">
        <v>361</v>
      </c>
      <c r="C44" s="51">
        <v>42545</v>
      </c>
      <c r="D44" s="38" t="s">
        <v>216</v>
      </c>
      <c r="E44" s="38" t="s">
        <v>217</v>
      </c>
      <c r="F44" s="38" t="s">
        <v>218</v>
      </c>
      <c r="G44" s="38" t="s">
        <v>237</v>
      </c>
      <c r="H44" s="38" t="s">
        <v>395</v>
      </c>
      <c r="I44" s="38" t="s">
        <v>397</v>
      </c>
      <c r="J44" s="38">
        <v>3</v>
      </c>
      <c r="K44" s="38" t="s">
        <v>248</v>
      </c>
      <c r="L44" s="38">
        <v>40</v>
      </c>
      <c r="M44" s="38">
        <v>12.75</v>
      </c>
      <c r="N44" s="38"/>
      <c r="O44" s="46" t="s">
        <v>569</v>
      </c>
      <c r="P44" s="38">
        <v>80.599999999999994</v>
      </c>
      <c r="Q44" s="38">
        <f>P44-M44</f>
        <v>67.849999999999994</v>
      </c>
      <c r="R44" s="38">
        <v>15</v>
      </c>
      <c r="S44" s="38" t="s">
        <v>224</v>
      </c>
      <c r="T44" s="38">
        <v>1</v>
      </c>
      <c r="U44" s="38" t="str">
        <f t="shared" si="5"/>
        <v>Positive</v>
      </c>
      <c r="V44" s="47"/>
      <c r="Y44" s="44"/>
      <c r="AA44" s="45"/>
      <c r="AB44" s="38"/>
      <c r="AC44" s="51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46"/>
      <c r="AP44" s="38"/>
      <c r="AQ44" s="38"/>
      <c r="AR44" s="38"/>
      <c r="AS44" s="38"/>
      <c r="AT44" s="38"/>
      <c r="AU44" s="38"/>
      <c r="AV44" s="47"/>
      <c r="AW44" s="44"/>
      <c r="AX44" s="44"/>
      <c r="AY44" s="44"/>
      <c r="AZ44" s="44"/>
      <c r="BA44" s="44"/>
    </row>
    <row r="45" spans="1:53" ht="16.5" x14ac:dyDescent="0.25">
      <c r="A45" s="45">
        <v>44</v>
      </c>
      <c r="B45" s="38" t="s">
        <v>588</v>
      </c>
      <c r="C45" s="51">
        <v>42606</v>
      </c>
      <c r="D45" s="38" t="s">
        <v>298</v>
      </c>
      <c r="E45" s="38" t="s">
        <v>299</v>
      </c>
      <c r="F45" s="38" t="s">
        <v>398</v>
      </c>
      <c r="G45" s="38" t="s">
        <v>399</v>
      </c>
      <c r="H45" s="38" t="s">
        <v>400</v>
      </c>
      <c r="I45" s="38" t="s">
        <v>401</v>
      </c>
      <c r="J45" s="38">
        <v>3</v>
      </c>
      <c r="K45" s="38" t="s">
        <v>256</v>
      </c>
      <c r="L45" s="38">
        <v>45</v>
      </c>
      <c r="M45" s="38">
        <v>30.34</v>
      </c>
      <c r="N45" s="38"/>
      <c r="O45" s="46" t="s">
        <v>402</v>
      </c>
      <c r="P45" s="38">
        <f t="shared" ref="P45:P55" si="6">Q45+M45</f>
        <v>72.87</v>
      </c>
      <c r="Q45" s="38">
        <v>42.53</v>
      </c>
      <c r="R45" s="38">
        <v>18</v>
      </c>
      <c r="S45" s="38"/>
      <c r="T45" s="38">
        <v>1</v>
      </c>
      <c r="U45" s="38" t="str">
        <f t="shared" si="5"/>
        <v>Positive</v>
      </c>
      <c r="V45" s="47"/>
      <c r="Y45" s="44"/>
      <c r="AA45" s="45"/>
      <c r="AB45" s="38"/>
      <c r="AC45" s="51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46"/>
      <c r="AP45" s="38"/>
      <c r="AQ45" s="38"/>
      <c r="AR45" s="38"/>
      <c r="AS45" s="38"/>
      <c r="AT45" s="38"/>
      <c r="AU45" s="38"/>
      <c r="AV45" s="47"/>
      <c r="AW45" s="44"/>
      <c r="AX45" s="44"/>
      <c r="AY45" s="44"/>
      <c r="AZ45" s="44"/>
      <c r="BA45" s="44"/>
    </row>
    <row r="46" spans="1:53" ht="16.5" x14ac:dyDescent="0.25">
      <c r="A46" s="45">
        <v>45</v>
      </c>
      <c r="B46" s="38" t="s">
        <v>588</v>
      </c>
      <c r="C46" s="51">
        <v>42608</v>
      </c>
      <c r="D46" s="38" t="s">
        <v>298</v>
      </c>
      <c r="E46" s="38" t="s">
        <v>299</v>
      </c>
      <c r="F46" s="38" t="s">
        <v>398</v>
      </c>
      <c r="G46" s="38" t="s">
        <v>399</v>
      </c>
      <c r="H46" s="38" t="s">
        <v>403</v>
      </c>
      <c r="I46" s="38" t="s">
        <v>404</v>
      </c>
      <c r="J46" s="38">
        <v>3</v>
      </c>
      <c r="K46" s="38" t="s">
        <v>222</v>
      </c>
      <c r="L46" s="38">
        <v>45</v>
      </c>
      <c r="M46" s="38"/>
      <c r="N46" s="38"/>
      <c r="O46" s="65" t="s">
        <v>405</v>
      </c>
      <c r="P46" s="38">
        <f t="shared" si="6"/>
        <v>0</v>
      </c>
      <c r="Q46" s="38"/>
      <c r="R46" s="38"/>
      <c r="S46" s="38"/>
      <c r="T46" s="38">
        <v>1</v>
      </c>
      <c r="U46" s="38"/>
      <c r="V46" s="47"/>
      <c r="Y46" s="44"/>
      <c r="AA46" s="45"/>
      <c r="AB46" s="38"/>
      <c r="AC46" s="51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46"/>
      <c r="AP46" s="38"/>
      <c r="AQ46" s="38"/>
      <c r="AR46" s="38"/>
      <c r="AS46" s="38"/>
      <c r="AT46" s="38"/>
      <c r="AU46" s="38"/>
      <c r="AV46" s="47"/>
      <c r="AW46" s="44"/>
      <c r="AX46" s="44"/>
      <c r="AY46" s="44"/>
      <c r="AZ46" s="44"/>
      <c r="BA46" s="44"/>
    </row>
    <row r="47" spans="1:53" ht="16.5" x14ac:dyDescent="0.25">
      <c r="A47" s="45">
        <v>46</v>
      </c>
      <c r="B47" s="38" t="s">
        <v>588</v>
      </c>
      <c r="C47" s="51">
        <v>42610</v>
      </c>
      <c r="D47" s="38" t="s">
        <v>298</v>
      </c>
      <c r="E47" s="38" t="s">
        <v>299</v>
      </c>
      <c r="F47" s="38" t="s">
        <v>300</v>
      </c>
      <c r="G47" s="38" t="s">
        <v>301</v>
      </c>
      <c r="H47" s="38" t="s">
        <v>406</v>
      </c>
      <c r="I47" s="38" t="s">
        <v>407</v>
      </c>
      <c r="J47" s="38">
        <v>3</v>
      </c>
      <c r="K47" s="38" t="s">
        <v>222</v>
      </c>
      <c r="L47" s="38">
        <v>50</v>
      </c>
      <c r="M47" s="38">
        <v>27.89</v>
      </c>
      <c r="N47" s="38"/>
      <c r="O47" s="46" t="s">
        <v>578</v>
      </c>
      <c r="P47" s="38">
        <f t="shared" si="6"/>
        <v>87.81</v>
      </c>
      <c r="Q47" s="38">
        <v>59.92</v>
      </c>
      <c r="R47" s="38">
        <v>2.5</v>
      </c>
      <c r="S47" s="38"/>
      <c r="T47" s="38">
        <v>1</v>
      </c>
      <c r="U47" s="38" t="str">
        <f t="shared" si="5"/>
        <v>Positive</v>
      </c>
      <c r="V47" s="47"/>
      <c r="Y47" s="44"/>
      <c r="AA47" s="45"/>
      <c r="AB47" s="38"/>
      <c r="AC47" s="51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46"/>
      <c r="AP47" s="38"/>
      <c r="AQ47" s="38"/>
      <c r="AR47" s="38"/>
      <c r="AS47" s="38"/>
      <c r="AT47" s="38"/>
      <c r="AU47" s="38"/>
      <c r="AV47" s="47"/>
      <c r="AW47" s="44"/>
      <c r="AX47" s="44"/>
      <c r="AY47" s="44"/>
      <c r="AZ47" s="44"/>
      <c r="BA47" s="44"/>
    </row>
    <row r="48" spans="1:53" ht="16.5" x14ac:dyDescent="0.25">
      <c r="A48" s="45">
        <v>47</v>
      </c>
      <c r="B48" s="38" t="s">
        <v>588</v>
      </c>
      <c r="C48" s="51">
        <v>42611</v>
      </c>
      <c r="D48" s="38" t="s">
        <v>298</v>
      </c>
      <c r="E48" s="38" t="s">
        <v>299</v>
      </c>
      <c r="F48" s="38" t="s">
        <v>300</v>
      </c>
      <c r="G48" s="38" t="s">
        <v>301</v>
      </c>
      <c r="H48" s="38" t="s">
        <v>408</v>
      </c>
      <c r="I48" s="38" t="s">
        <v>409</v>
      </c>
      <c r="J48" s="38">
        <v>3</v>
      </c>
      <c r="K48" s="38" t="s">
        <v>222</v>
      </c>
      <c r="L48" s="38">
        <v>45</v>
      </c>
      <c r="M48" s="38">
        <v>20.8</v>
      </c>
      <c r="N48" s="38"/>
      <c r="O48" s="46" t="s">
        <v>240</v>
      </c>
      <c r="P48" s="38">
        <f t="shared" si="6"/>
        <v>81.239999999999995</v>
      </c>
      <c r="Q48" s="38">
        <v>60.44</v>
      </c>
      <c r="R48" s="38">
        <v>1</v>
      </c>
      <c r="S48" s="38"/>
      <c r="T48" s="38">
        <v>1</v>
      </c>
      <c r="U48" s="38" t="str">
        <f t="shared" si="5"/>
        <v>Positive</v>
      </c>
      <c r="V48" s="47"/>
      <c r="Y48" s="44"/>
      <c r="AA48" s="45"/>
      <c r="AB48" s="38"/>
      <c r="AC48" s="51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46"/>
      <c r="AP48" s="38"/>
      <c r="AQ48" s="38"/>
      <c r="AR48" s="38"/>
      <c r="AS48" s="38"/>
      <c r="AT48" s="38"/>
      <c r="AU48" s="38"/>
      <c r="AV48" s="47"/>
      <c r="AW48" s="44"/>
      <c r="AX48" s="44"/>
      <c r="AY48" s="44"/>
      <c r="AZ48" s="44"/>
      <c r="BA48" s="44"/>
    </row>
    <row r="49" spans="1:53" ht="16.5" x14ac:dyDescent="0.25">
      <c r="A49" s="45">
        <v>48</v>
      </c>
      <c r="B49" s="38" t="s">
        <v>588</v>
      </c>
      <c r="C49" s="51">
        <v>42612</v>
      </c>
      <c r="D49" s="38" t="s">
        <v>298</v>
      </c>
      <c r="E49" s="38" t="s">
        <v>299</v>
      </c>
      <c r="F49" s="38" t="s">
        <v>398</v>
      </c>
      <c r="G49" s="38" t="s">
        <v>410</v>
      </c>
      <c r="H49" s="38" t="s">
        <v>411</v>
      </c>
      <c r="I49" s="38" t="s">
        <v>412</v>
      </c>
      <c r="J49" s="38">
        <v>3</v>
      </c>
      <c r="K49" s="38" t="s">
        <v>222</v>
      </c>
      <c r="L49" s="38">
        <v>55</v>
      </c>
      <c r="M49" s="38">
        <v>38.64</v>
      </c>
      <c r="N49" s="38"/>
      <c r="O49" s="46" t="s">
        <v>413</v>
      </c>
      <c r="P49" s="38">
        <f t="shared" si="6"/>
        <v>86.92</v>
      </c>
      <c r="Q49" s="38">
        <v>48.28</v>
      </c>
      <c r="R49" s="38">
        <v>6</v>
      </c>
      <c r="S49" s="38"/>
      <c r="T49" s="38">
        <v>1</v>
      </c>
      <c r="U49" s="38" t="str">
        <f t="shared" si="5"/>
        <v>Positive</v>
      </c>
      <c r="V49" s="47"/>
      <c r="Y49" s="44"/>
      <c r="AA49" s="45"/>
      <c r="AB49" s="38"/>
      <c r="AC49" s="51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46"/>
      <c r="AP49" s="38"/>
      <c r="AQ49" s="38"/>
      <c r="AR49" s="38"/>
      <c r="AS49" s="38"/>
      <c r="AT49" s="38"/>
      <c r="AU49" s="38"/>
      <c r="AV49" s="47"/>
      <c r="AW49" s="44"/>
      <c r="AX49" s="44"/>
      <c r="AY49" s="44"/>
      <c r="AZ49" s="44"/>
      <c r="BA49" s="44"/>
    </row>
    <row r="50" spans="1:53" ht="16.5" x14ac:dyDescent="0.25">
      <c r="A50" s="45">
        <v>49</v>
      </c>
      <c r="B50" s="38" t="s">
        <v>588</v>
      </c>
      <c r="C50" s="51">
        <v>42613</v>
      </c>
      <c r="D50" s="38" t="s">
        <v>298</v>
      </c>
      <c r="E50" s="38" t="s">
        <v>299</v>
      </c>
      <c r="F50" s="38" t="s">
        <v>398</v>
      </c>
      <c r="G50" s="38" t="s">
        <v>410</v>
      </c>
      <c r="H50" s="38" t="s">
        <v>414</v>
      </c>
      <c r="I50" s="38" t="s">
        <v>415</v>
      </c>
      <c r="J50" s="38">
        <v>3</v>
      </c>
      <c r="K50" s="38" t="s">
        <v>222</v>
      </c>
      <c r="L50" s="38">
        <v>60</v>
      </c>
      <c r="M50" s="38">
        <v>27.41</v>
      </c>
      <c r="N50" s="38"/>
      <c r="O50" s="46" t="s">
        <v>416</v>
      </c>
      <c r="P50" s="38">
        <f t="shared" si="6"/>
        <v>77.790000000000006</v>
      </c>
      <c r="Q50" s="38">
        <v>50.38</v>
      </c>
      <c r="R50" s="38">
        <v>1</v>
      </c>
      <c r="S50" s="38"/>
      <c r="T50" s="38">
        <v>1</v>
      </c>
      <c r="U50" s="38" t="str">
        <f t="shared" si="5"/>
        <v>Positive</v>
      </c>
      <c r="V50" s="47"/>
      <c r="Y50" s="44"/>
      <c r="AA50" s="45"/>
      <c r="AB50" s="38"/>
      <c r="AC50" s="51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46"/>
      <c r="AP50" s="38"/>
      <c r="AQ50" s="38"/>
      <c r="AR50" s="38"/>
      <c r="AS50" s="38"/>
      <c r="AT50" s="38"/>
      <c r="AU50" s="38"/>
      <c r="AV50" s="47"/>
      <c r="AW50" s="44"/>
      <c r="AX50" s="44"/>
      <c r="AY50" s="44"/>
      <c r="AZ50" s="44"/>
      <c r="BA50" s="44"/>
    </row>
    <row r="51" spans="1:53" ht="16.5" x14ac:dyDescent="0.25">
      <c r="A51" s="45">
        <v>50</v>
      </c>
      <c r="B51" s="38" t="s">
        <v>588</v>
      </c>
      <c r="C51" s="51">
        <v>42614</v>
      </c>
      <c r="D51" s="38" t="s">
        <v>298</v>
      </c>
      <c r="E51" s="38" t="s">
        <v>299</v>
      </c>
      <c r="F51" s="38" t="s">
        <v>398</v>
      </c>
      <c r="G51" s="38" t="s">
        <v>399</v>
      </c>
      <c r="H51" s="38" t="s">
        <v>417</v>
      </c>
      <c r="I51" s="38" t="s">
        <v>418</v>
      </c>
      <c r="J51" s="38">
        <v>3</v>
      </c>
      <c r="K51" s="38" t="s">
        <v>222</v>
      </c>
      <c r="L51" s="38">
        <v>60</v>
      </c>
      <c r="M51" s="38">
        <v>12.43</v>
      </c>
      <c r="N51" s="38"/>
      <c r="O51" s="46" t="s">
        <v>227</v>
      </c>
      <c r="P51" s="38">
        <f t="shared" si="6"/>
        <v>72.789999999999992</v>
      </c>
      <c r="Q51" s="38">
        <v>60.36</v>
      </c>
      <c r="R51" s="38">
        <v>2</v>
      </c>
      <c r="S51" s="38"/>
      <c r="T51" s="38">
        <v>1</v>
      </c>
      <c r="U51" s="38" t="str">
        <f t="shared" si="5"/>
        <v>Positive</v>
      </c>
      <c r="V51" s="47"/>
      <c r="Y51" s="44"/>
      <c r="AA51" s="45"/>
      <c r="AB51" s="38"/>
      <c r="AC51" s="51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46"/>
      <c r="AP51" s="38"/>
      <c r="AQ51" s="38"/>
      <c r="AR51" s="38"/>
      <c r="AS51" s="38"/>
      <c r="AT51" s="38"/>
      <c r="AU51" s="38"/>
      <c r="AV51" s="47"/>
      <c r="AW51" s="44"/>
      <c r="AX51" s="44"/>
      <c r="AY51" s="44"/>
      <c r="AZ51" s="44"/>
      <c r="BA51" s="44"/>
    </row>
    <row r="52" spans="1:53" ht="16.5" x14ac:dyDescent="0.25">
      <c r="A52" s="45">
        <v>51</v>
      </c>
      <c r="B52" s="38" t="s">
        <v>588</v>
      </c>
      <c r="C52" s="51">
        <v>42616</v>
      </c>
      <c r="D52" s="38" t="s">
        <v>298</v>
      </c>
      <c r="E52" s="38" t="s">
        <v>299</v>
      </c>
      <c r="F52" s="38" t="s">
        <v>398</v>
      </c>
      <c r="G52" s="38" t="s">
        <v>410</v>
      </c>
      <c r="H52" s="38" t="s">
        <v>411</v>
      </c>
      <c r="I52" s="38" t="s">
        <v>419</v>
      </c>
      <c r="J52" s="38">
        <v>3</v>
      </c>
      <c r="K52" s="38" t="s">
        <v>222</v>
      </c>
      <c r="L52" s="38">
        <v>40</v>
      </c>
      <c r="M52" s="38">
        <v>35.840000000000003</v>
      </c>
      <c r="N52" s="38"/>
      <c r="O52" s="46" t="s">
        <v>579</v>
      </c>
      <c r="P52" s="38">
        <f t="shared" si="6"/>
        <v>82.34</v>
      </c>
      <c r="Q52" s="38">
        <v>46.5</v>
      </c>
      <c r="R52" s="38">
        <v>3</v>
      </c>
      <c r="S52" s="38"/>
      <c r="T52" s="38">
        <v>1</v>
      </c>
      <c r="U52" s="38" t="str">
        <f t="shared" si="5"/>
        <v>Positive</v>
      </c>
      <c r="V52" s="47"/>
      <c r="Y52" s="44"/>
      <c r="AA52" s="45"/>
      <c r="AB52" s="38"/>
      <c r="AC52" s="51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46"/>
      <c r="AP52" s="38"/>
      <c r="AQ52" s="38"/>
      <c r="AR52" s="38"/>
      <c r="AS52" s="38"/>
      <c r="AT52" s="38"/>
      <c r="AU52" s="38"/>
      <c r="AV52" s="47"/>
      <c r="AW52" s="44"/>
      <c r="AX52" s="44"/>
      <c r="AY52" s="44"/>
      <c r="AZ52" s="44"/>
      <c r="BA52" s="44"/>
    </row>
    <row r="53" spans="1:53" ht="16.5" x14ac:dyDescent="0.25">
      <c r="A53" s="45">
        <v>52</v>
      </c>
      <c r="B53" s="38" t="s">
        <v>588</v>
      </c>
      <c r="C53" s="51">
        <v>42617</v>
      </c>
      <c r="D53" s="38" t="s">
        <v>298</v>
      </c>
      <c r="E53" s="38" t="s">
        <v>299</v>
      </c>
      <c r="F53" s="38" t="s">
        <v>398</v>
      </c>
      <c r="G53" s="38" t="s">
        <v>399</v>
      </c>
      <c r="H53" s="38" t="s">
        <v>420</v>
      </c>
      <c r="I53" s="38" t="s">
        <v>421</v>
      </c>
      <c r="J53" s="38">
        <v>3</v>
      </c>
      <c r="K53" s="38" t="s">
        <v>222</v>
      </c>
      <c r="L53" s="38">
        <v>40</v>
      </c>
      <c r="M53" s="38">
        <v>40.590000000000003</v>
      </c>
      <c r="N53" s="38"/>
      <c r="O53" s="46" t="s">
        <v>580</v>
      </c>
      <c r="P53" s="38">
        <f t="shared" si="6"/>
        <v>87.09</v>
      </c>
      <c r="Q53" s="38">
        <v>46.5</v>
      </c>
      <c r="R53" s="38">
        <v>22</v>
      </c>
      <c r="S53" s="38"/>
      <c r="T53" s="38">
        <v>1</v>
      </c>
      <c r="U53" s="38" t="str">
        <f t="shared" si="5"/>
        <v>Positive</v>
      </c>
      <c r="V53" s="47"/>
      <c r="Y53" s="44"/>
      <c r="AA53" s="45"/>
      <c r="AB53" s="38"/>
      <c r="AC53" s="51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46"/>
      <c r="AP53" s="38"/>
      <c r="AQ53" s="38"/>
      <c r="AR53" s="38"/>
      <c r="AS53" s="38"/>
      <c r="AT53" s="38"/>
      <c r="AU53" s="38"/>
      <c r="AV53" s="47"/>
      <c r="AW53" s="44"/>
      <c r="AX53" s="44"/>
      <c r="AY53" s="44"/>
      <c r="AZ53" s="44"/>
      <c r="BA53" s="44"/>
    </row>
    <row r="54" spans="1:53" ht="16.5" x14ac:dyDescent="0.25">
      <c r="A54" s="45">
        <v>53</v>
      </c>
      <c r="B54" s="38" t="s">
        <v>588</v>
      </c>
      <c r="C54" s="51">
        <v>42620</v>
      </c>
      <c r="D54" s="38" t="s">
        <v>298</v>
      </c>
      <c r="E54" s="38" t="s">
        <v>299</v>
      </c>
      <c r="F54" s="38" t="s">
        <v>398</v>
      </c>
      <c r="G54" s="38" t="s">
        <v>399</v>
      </c>
      <c r="H54" s="38" t="s">
        <v>422</v>
      </c>
      <c r="I54" s="38" t="s">
        <v>423</v>
      </c>
      <c r="J54" s="38">
        <v>3</v>
      </c>
      <c r="K54" s="38" t="s">
        <v>222</v>
      </c>
      <c r="L54" s="38">
        <v>37</v>
      </c>
      <c r="M54" s="38">
        <v>45.14</v>
      </c>
      <c r="N54" s="38"/>
      <c r="O54" s="46" t="s">
        <v>581</v>
      </c>
      <c r="P54" s="38">
        <f t="shared" si="6"/>
        <v>77.900000000000006</v>
      </c>
      <c r="Q54" s="38">
        <v>32.76</v>
      </c>
      <c r="R54" s="38">
        <v>6</v>
      </c>
      <c r="S54" s="38"/>
      <c r="T54" s="38">
        <v>1</v>
      </c>
      <c r="U54" s="38" t="str">
        <f t="shared" si="5"/>
        <v>Positive</v>
      </c>
      <c r="V54" s="47"/>
      <c r="Y54" s="44"/>
      <c r="AA54" s="45"/>
      <c r="AB54" s="38"/>
      <c r="AC54" s="51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66"/>
      <c r="AP54" s="38"/>
      <c r="AQ54" s="38"/>
      <c r="AR54" s="38"/>
      <c r="AS54" s="38"/>
      <c r="AT54" s="38"/>
      <c r="AU54" s="38"/>
      <c r="AV54" s="47"/>
      <c r="AW54" s="44"/>
      <c r="AX54" s="44"/>
      <c r="AY54" s="44"/>
      <c r="AZ54" s="44"/>
      <c r="BA54" s="44"/>
    </row>
    <row r="55" spans="1:53" ht="16.5" x14ac:dyDescent="0.25">
      <c r="A55" s="45">
        <v>54</v>
      </c>
      <c r="B55" s="38" t="s">
        <v>588</v>
      </c>
      <c r="C55" s="51">
        <v>42621</v>
      </c>
      <c r="D55" s="38" t="s">
        <v>298</v>
      </c>
      <c r="E55" s="38" t="s">
        <v>299</v>
      </c>
      <c r="F55" s="38" t="s">
        <v>300</v>
      </c>
      <c r="G55" s="38" t="s">
        <v>424</v>
      </c>
      <c r="H55" s="38" t="s">
        <v>425</v>
      </c>
      <c r="I55" s="38" t="s">
        <v>426</v>
      </c>
      <c r="J55" s="38">
        <v>3</v>
      </c>
      <c r="K55" s="38" t="s">
        <v>222</v>
      </c>
      <c r="L55" s="38">
        <v>45</v>
      </c>
      <c r="M55" s="38">
        <v>27</v>
      </c>
      <c r="N55" s="38"/>
      <c r="O55" s="46" t="s">
        <v>427</v>
      </c>
      <c r="P55" s="38">
        <f t="shared" si="6"/>
        <v>82.41</v>
      </c>
      <c r="Q55" s="38">
        <v>55.41</v>
      </c>
      <c r="R55" s="38">
        <v>1</v>
      </c>
      <c r="S55" s="38"/>
      <c r="T55" s="38">
        <v>1</v>
      </c>
      <c r="U55" s="38" t="str">
        <f t="shared" si="5"/>
        <v>Positive</v>
      </c>
      <c r="V55" s="47"/>
      <c r="Y55" s="44"/>
      <c r="AA55" s="45"/>
      <c r="AB55" s="38"/>
      <c r="AC55" s="51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46"/>
      <c r="AP55" s="38"/>
      <c r="AQ55" s="38"/>
      <c r="AR55" s="38"/>
      <c r="AS55" s="38"/>
      <c r="AT55" s="38"/>
      <c r="AU55" s="38"/>
      <c r="AV55" s="47"/>
      <c r="AW55" s="44"/>
      <c r="AX55" s="44"/>
      <c r="AY55" s="44"/>
      <c r="AZ55" s="44"/>
      <c r="BA55" s="44"/>
    </row>
    <row r="56" spans="1:53" ht="16.5" x14ac:dyDescent="0.25">
      <c r="A56" s="45">
        <v>55</v>
      </c>
      <c r="B56" s="38" t="s">
        <v>588</v>
      </c>
      <c r="C56" s="51">
        <v>42622</v>
      </c>
      <c r="D56" s="38" t="s">
        <v>298</v>
      </c>
      <c r="E56" s="38" t="s">
        <v>299</v>
      </c>
      <c r="F56" s="38" t="s">
        <v>398</v>
      </c>
      <c r="G56" s="38" t="s">
        <v>428</v>
      </c>
      <c r="H56" s="38" t="s">
        <v>429</v>
      </c>
      <c r="I56" s="38" t="s">
        <v>430</v>
      </c>
      <c r="J56" s="38">
        <v>3</v>
      </c>
      <c r="K56" s="38" t="s">
        <v>222</v>
      </c>
      <c r="L56" s="38">
        <v>38</v>
      </c>
      <c r="M56" s="38"/>
      <c r="N56" s="38"/>
      <c r="O56" s="46" t="s">
        <v>431</v>
      </c>
      <c r="P56" s="38"/>
      <c r="Q56" s="38"/>
      <c r="R56" s="38"/>
      <c r="S56" s="38"/>
      <c r="T56" s="38">
        <v>1</v>
      </c>
      <c r="U56" s="38"/>
      <c r="V56" s="47"/>
      <c r="Y56" s="44"/>
      <c r="AA56" s="45"/>
      <c r="AB56" s="38"/>
      <c r="AC56" s="51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46"/>
      <c r="AP56" s="38"/>
      <c r="AQ56" s="38"/>
      <c r="AR56" s="38"/>
      <c r="AS56" s="38"/>
      <c r="AT56" s="38"/>
      <c r="AU56" s="38"/>
      <c r="AV56" s="47"/>
      <c r="AW56" s="44"/>
      <c r="AX56" s="44"/>
      <c r="AY56" s="44"/>
      <c r="AZ56" s="44"/>
      <c r="BA56" s="44"/>
    </row>
    <row r="57" spans="1:53" ht="16.5" x14ac:dyDescent="0.25">
      <c r="A57" s="45">
        <v>56</v>
      </c>
      <c r="B57" s="38" t="s">
        <v>588</v>
      </c>
      <c r="C57" s="51">
        <v>42623</v>
      </c>
      <c r="D57" s="38" t="s">
        <v>298</v>
      </c>
      <c r="E57" s="38" t="s">
        <v>299</v>
      </c>
      <c r="F57" s="38" t="s">
        <v>398</v>
      </c>
      <c r="G57" s="38" t="s">
        <v>428</v>
      </c>
      <c r="H57" s="38" t="s">
        <v>432</v>
      </c>
      <c r="I57" s="38" t="s">
        <v>433</v>
      </c>
      <c r="J57" s="38">
        <v>3</v>
      </c>
      <c r="K57" s="38" t="s">
        <v>222</v>
      </c>
      <c r="L57" s="38">
        <v>47</v>
      </c>
      <c r="M57" s="38">
        <v>20.3</v>
      </c>
      <c r="N57" s="38"/>
      <c r="O57" s="46" t="s">
        <v>434</v>
      </c>
      <c r="P57" s="38">
        <f>Q57+M57</f>
        <v>87.66</v>
      </c>
      <c r="Q57" s="38">
        <v>67.36</v>
      </c>
      <c r="R57" s="38">
        <v>12</v>
      </c>
      <c r="S57" s="38"/>
      <c r="T57" s="38">
        <v>1</v>
      </c>
      <c r="U57" s="38" t="str">
        <f t="shared" si="5"/>
        <v>Positive</v>
      </c>
      <c r="V57" s="47"/>
      <c r="Y57" s="44"/>
      <c r="AA57" s="45"/>
      <c r="AB57" s="38"/>
      <c r="AC57" s="51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46"/>
      <c r="AP57" s="38"/>
      <c r="AQ57" s="38"/>
      <c r="AR57" s="38"/>
      <c r="AS57" s="38"/>
      <c r="AT57" s="38"/>
      <c r="AU57" s="38"/>
      <c r="AV57" s="47"/>
      <c r="AW57" s="44"/>
      <c r="AX57" s="44"/>
      <c r="AY57" s="44"/>
      <c r="AZ57" s="44"/>
      <c r="BA57" s="44"/>
    </row>
    <row r="58" spans="1:53" ht="16.5" x14ac:dyDescent="0.25">
      <c r="A58" s="45">
        <v>57</v>
      </c>
      <c r="B58" s="38" t="s">
        <v>588</v>
      </c>
      <c r="C58" s="51">
        <v>42624</v>
      </c>
      <c r="D58" s="38" t="s">
        <v>298</v>
      </c>
      <c r="E58" s="38" t="s">
        <v>299</v>
      </c>
      <c r="F58" s="38" t="s">
        <v>398</v>
      </c>
      <c r="G58" s="38" t="s">
        <v>428</v>
      </c>
      <c r="H58" s="38" t="s">
        <v>435</v>
      </c>
      <c r="I58" s="38" t="s">
        <v>436</v>
      </c>
      <c r="J58" s="38">
        <v>3</v>
      </c>
      <c r="K58" s="38" t="s">
        <v>222</v>
      </c>
      <c r="L58" s="38">
        <v>35</v>
      </c>
      <c r="M58" s="38">
        <v>5.07</v>
      </c>
      <c r="N58" s="38"/>
      <c r="O58" s="46" t="s">
        <v>582</v>
      </c>
      <c r="P58" s="38">
        <f>Q58+M58</f>
        <v>86.56</v>
      </c>
      <c r="Q58" s="38">
        <v>81.489999999999995</v>
      </c>
      <c r="R58" s="38">
        <v>9</v>
      </c>
      <c r="S58" s="38"/>
      <c r="T58" s="38">
        <v>1</v>
      </c>
      <c r="U58" s="38" t="str">
        <f t="shared" si="5"/>
        <v>Positive</v>
      </c>
      <c r="V58" s="47"/>
      <c r="Y58" s="44"/>
      <c r="AA58" s="45"/>
      <c r="AB58" s="38"/>
      <c r="AC58" s="51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66"/>
      <c r="AP58" s="38"/>
      <c r="AQ58" s="38"/>
      <c r="AR58" s="38"/>
      <c r="AS58" s="38"/>
      <c r="AT58" s="38"/>
      <c r="AU58" s="38"/>
      <c r="AV58" s="47"/>
      <c r="AW58" s="44"/>
      <c r="AX58" s="44"/>
      <c r="AY58" s="44"/>
      <c r="AZ58" s="44"/>
      <c r="BA58" s="44"/>
    </row>
    <row r="59" spans="1:53" ht="16.5" x14ac:dyDescent="0.25">
      <c r="A59" s="45">
        <v>58</v>
      </c>
      <c r="B59" s="38" t="s">
        <v>588</v>
      </c>
      <c r="C59" s="51">
        <v>42625</v>
      </c>
      <c r="D59" s="38" t="s">
        <v>298</v>
      </c>
      <c r="E59" s="38" t="s">
        <v>299</v>
      </c>
      <c r="F59" s="38" t="s">
        <v>398</v>
      </c>
      <c r="G59" s="38" t="s">
        <v>399</v>
      </c>
      <c r="H59" s="38" t="s">
        <v>437</v>
      </c>
      <c r="I59" s="38" t="s">
        <v>438</v>
      </c>
      <c r="J59" s="38">
        <v>3</v>
      </c>
      <c r="K59" s="38" t="s">
        <v>222</v>
      </c>
      <c r="L59" s="38">
        <v>35</v>
      </c>
      <c r="M59" s="38">
        <v>24.63</v>
      </c>
      <c r="N59" s="38"/>
      <c r="O59" s="46" t="s">
        <v>431</v>
      </c>
      <c r="P59" s="38">
        <f>Q59+M59</f>
        <v>86.74</v>
      </c>
      <c r="Q59" s="38">
        <v>62.11</v>
      </c>
      <c r="R59" s="38">
        <v>3</v>
      </c>
      <c r="S59" s="38"/>
      <c r="T59" s="38">
        <v>1</v>
      </c>
      <c r="U59" s="38" t="str">
        <f t="shared" si="5"/>
        <v>Positive</v>
      </c>
      <c r="V59" s="47"/>
      <c r="Y59" s="44"/>
      <c r="AA59" s="45"/>
      <c r="AB59" s="38"/>
      <c r="AC59" s="51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46"/>
      <c r="AP59" s="38"/>
      <c r="AQ59" s="38"/>
      <c r="AR59" s="38"/>
      <c r="AS59" s="38"/>
      <c r="AT59" s="38"/>
      <c r="AU59" s="38"/>
      <c r="AV59" s="47"/>
      <c r="AW59" s="44"/>
      <c r="AX59" s="44"/>
      <c r="AY59" s="44"/>
      <c r="AZ59" s="44"/>
      <c r="BA59" s="44"/>
    </row>
    <row r="60" spans="1:53" ht="16.5" x14ac:dyDescent="0.25">
      <c r="A60" s="45">
        <v>59</v>
      </c>
      <c r="B60" s="38" t="s">
        <v>588</v>
      </c>
      <c r="C60" s="51">
        <v>42627</v>
      </c>
      <c r="D60" s="38" t="s">
        <v>298</v>
      </c>
      <c r="E60" s="38" t="s">
        <v>299</v>
      </c>
      <c r="F60" s="38" t="s">
        <v>398</v>
      </c>
      <c r="G60" s="38" t="s">
        <v>399</v>
      </c>
      <c r="H60" s="38" t="s">
        <v>439</v>
      </c>
      <c r="I60" s="38" t="s">
        <v>440</v>
      </c>
      <c r="J60" s="38">
        <v>3</v>
      </c>
      <c r="K60" s="38" t="s">
        <v>222</v>
      </c>
      <c r="L60" s="38">
        <v>40</v>
      </c>
      <c r="M60" s="38">
        <v>19</v>
      </c>
      <c r="N60" s="38"/>
      <c r="O60" s="46" t="s">
        <v>583</v>
      </c>
      <c r="P60" s="38">
        <f>Q60+M60</f>
        <v>79.36</v>
      </c>
      <c r="Q60" s="38">
        <v>60.36</v>
      </c>
      <c r="R60" s="38">
        <v>6</v>
      </c>
      <c r="S60" s="38"/>
      <c r="T60" s="38">
        <v>1</v>
      </c>
      <c r="U60" s="38" t="str">
        <f t="shared" si="5"/>
        <v>Positive</v>
      </c>
      <c r="V60" s="47"/>
      <c r="Y60" s="44"/>
      <c r="AA60" s="45"/>
      <c r="AB60" s="38"/>
      <c r="AC60" s="51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46"/>
      <c r="AP60" s="38"/>
      <c r="AQ60" s="38"/>
      <c r="AR60" s="38"/>
      <c r="AS60" s="38"/>
      <c r="AT60" s="52"/>
      <c r="AU60" s="38"/>
      <c r="AV60" s="47"/>
      <c r="AW60" s="44"/>
      <c r="AX60" s="44"/>
      <c r="AY60" s="44"/>
      <c r="AZ60" s="44"/>
      <c r="BA60" s="44"/>
    </row>
    <row r="61" spans="1:53" ht="16.5" x14ac:dyDescent="0.25">
      <c r="A61" s="45">
        <v>60</v>
      </c>
      <c r="B61" s="38" t="s">
        <v>441</v>
      </c>
      <c r="C61" s="51">
        <v>42629</v>
      </c>
      <c r="D61" s="38" t="s">
        <v>250</v>
      </c>
      <c r="E61" s="38" t="s">
        <v>251</v>
      </c>
      <c r="F61" s="38" t="s">
        <v>252</v>
      </c>
      <c r="G61" s="38" t="s">
        <v>442</v>
      </c>
      <c r="H61" s="38" t="s">
        <v>442</v>
      </c>
      <c r="I61" s="38" t="s">
        <v>443</v>
      </c>
      <c r="J61" s="38">
        <v>3</v>
      </c>
      <c r="K61" s="38" t="s">
        <v>222</v>
      </c>
      <c r="L61" s="38">
        <v>15</v>
      </c>
      <c r="M61" s="38">
        <v>31.31</v>
      </c>
      <c r="N61" s="38"/>
      <c r="O61" s="46" t="s">
        <v>565</v>
      </c>
      <c r="P61" s="38">
        <v>82.09</v>
      </c>
      <c r="Q61" s="38">
        <f>P61-M61</f>
        <v>50.78</v>
      </c>
      <c r="R61" s="38">
        <v>3</v>
      </c>
      <c r="S61" s="38"/>
      <c r="T61" s="38">
        <v>1</v>
      </c>
      <c r="U61" s="38" t="str">
        <f t="shared" si="5"/>
        <v>Positive</v>
      </c>
      <c r="V61" s="47"/>
      <c r="Y61" s="44"/>
      <c r="AA61" s="45"/>
      <c r="AB61" s="38"/>
      <c r="AC61" s="51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46"/>
      <c r="AP61" s="38"/>
      <c r="AQ61" s="38"/>
      <c r="AR61" s="38"/>
      <c r="AS61" s="38"/>
      <c r="AT61" s="38"/>
      <c r="AU61" s="38"/>
      <c r="AV61" s="47"/>
      <c r="AW61" s="44"/>
      <c r="AX61" s="44"/>
      <c r="AY61" s="44"/>
      <c r="AZ61" s="44"/>
      <c r="BA61" s="44"/>
    </row>
    <row r="62" spans="1:53" ht="16.5" x14ac:dyDescent="0.25">
      <c r="A62" s="45">
        <v>61</v>
      </c>
      <c r="B62" s="38" t="s">
        <v>441</v>
      </c>
      <c r="C62" s="51">
        <v>42630</v>
      </c>
      <c r="D62" s="38" t="s">
        <v>250</v>
      </c>
      <c r="E62" s="38" t="s">
        <v>251</v>
      </c>
      <c r="F62" s="38" t="s">
        <v>252</v>
      </c>
      <c r="G62" s="38" t="s">
        <v>253</v>
      </c>
      <c r="H62" s="38" t="s">
        <v>444</v>
      </c>
      <c r="I62" s="38" t="s">
        <v>445</v>
      </c>
      <c r="J62" s="38">
        <v>3</v>
      </c>
      <c r="K62" s="38" t="s">
        <v>222</v>
      </c>
      <c r="L62" s="38">
        <v>15</v>
      </c>
      <c r="M62" s="38">
        <v>26.01</v>
      </c>
      <c r="N62" s="38"/>
      <c r="O62" s="46" t="s">
        <v>227</v>
      </c>
      <c r="P62" s="38">
        <v>100.75</v>
      </c>
      <c r="Q62" s="38">
        <f>P62-M62</f>
        <v>74.739999999999995</v>
      </c>
      <c r="R62" s="38">
        <v>0.7</v>
      </c>
      <c r="S62" s="38"/>
      <c r="T62" s="38">
        <v>1</v>
      </c>
      <c r="U62" s="38" t="str">
        <f t="shared" si="5"/>
        <v>Negative</v>
      </c>
      <c r="V62" s="47"/>
      <c r="Y62" s="44"/>
      <c r="AA62" s="45"/>
      <c r="AB62" s="38"/>
      <c r="AC62" s="51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46"/>
      <c r="AP62" s="38"/>
      <c r="AQ62" s="38"/>
      <c r="AR62" s="38"/>
      <c r="AS62" s="38"/>
      <c r="AT62" s="38"/>
      <c r="AU62" s="38"/>
      <c r="AV62" s="47"/>
      <c r="AW62" s="44"/>
      <c r="AX62" s="44"/>
      <c r="AY62" s="44"/>
      <c r="AZ62" s="44"/>
      <c r="BA62" s="44"/>
    </row>
    <row r="63" spans="1:53" ht="16.5" x14ac:dyDescent="0.25">
      <c r="A63" s="45">
        <v>62</v>
      </c>
      <c r="B63" s="38" t="s">
        <v>441</v>
      </c>
      <c r="C63" s="51">
        <v>42631</v>
      </c>
      <c r="D63" s="38" t="s">
        <v>250</v>
      </c>
      <c r="E63" s="38" t="s">
        <v>251</v>
      </c>
      <c r="F63" s="38" t="s">
        <v>252</v>
      </c>
      <c r="G63" s="38" t="s">
        <v>442</v>
      </c>
      <c r="H63" s="38" t="s">
        <v>446</v>
      </c>
      <c r="I63" s="38" t="s">
        <v>447</v>
      </c>
      <c r="J63" s="38">
        <v>3</v>
      </c>
      <c r="K63" s="38" t="s">
        <v>222</v>
      </c>
      <c r="L63" s="38">
        <v>40</v>
      </c>
      <c r="M63" s="38">
        <v>31.69</v>
      </c>
      <c r="N63" s="38"/>
      <c r="O63" s="46" t="s">
        <v>566</v>
      </c>
      <c r="P63" s="38">
        <v>82.62</v>
      </c>
      <c r="Q63" s="38">
        <f>P63-M63</f>
        <v>50.930000000000007</v>
      </c>
      <c r="R63" s="38">
        <v>12</v>
      </c>
      <c r="S63" s="38"/>
      <c r="T63" s="38">
        <v>1</v>
      </c>
      <c r="U63" s="38" t="str">
        <f t="shared" si="5"/>
        <v>Positive</v>
      </c>
      <c r="V63" s="47"/>
      <c r="Y63" s="44"/>
      <c r="AA63" s="45"/>
      <c r="AB63" s="38"/>
      <c r="AC63" s="51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46"/>
      <c r="AP63" s="38"/>
      <c r="AQ63" s="38"/>
      <c r="AR63" s="38"/>
      <c r="AS63" s="38"/>
      <c r="AT63" s="38"/>
      <c r="AU63" s="38"/>
      <c r="AV63" s="47"/>
      <c r="AW63" s="44"/>
      <c r="AX63" s="44"/>
      <c r="AY63" s="44"/>
      <c r="AZ63" s="44"/>
      <c r="BA63" s="44"/>
    </row>
    <row r="64" spans="1:53" ht="16.5" x14ac:dyDescent="0.25">
      <c r="A64" s="45">
        <v>63</v>
      </c>
      <c r="B64" s="38" t="s">
        <v>441</v>
      </c>
      <c r="C64" s="51">
        <v>42633</v>
      </c>
      <c r="D64" s="38" t="s">
        <v>250</v>
      </c>
      <c r="E64" s="38" t="s">
        <v>251</v>
      </c>
      <c r="F64" s="38" t="s">
        <v>252</v>
      </c>
      <c r="G64" s="38" t="s">
        <v>448</v>
      </c>
      <c r="H64" s="38" t="s">
        <v>449</v>
      </c>
      <c r="I64" s="38" t="s">
        <v>450</v>
      </c>
      <c r="J64" s="38">
        <v>3</v>
      </c>
      <c r="K64" s="38" t="s">
        <v>222</v>
      </c>
      <c r="L64" s="38">
        <v>12</v>
      </c>
      <c r="M64" s="38"/>
      <c r="N64" s="38"/>
      <c r="O64" s="46" t="s">
        <v>227</v>
      </c>
      <c r="P64" s="38"/>
      <c r="Q64" s="38"/>
      <c r="R64" s="38"/>
      <c r="S64" s="38"/>
      <c r="T64" s="38">
        <v>1</v>
      </c>
      <c r="U64" s="38"/>
      <c r="V64" s="47"/>
      <c r="Y64" s="44"/>
      <c r="AA64" s="45"/>
      <c r="AB64" s="38"/>
      <c r="AC64" s="51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67"/>
      <c r="AT64" s="38"/>
      <c r="AU64" s="38"/>
      <c r="AV64" s="47"/>
      <c r="AW64" s="44"/>
      <c r="AX64" s="44"/>
      <c r="AY64" s="44"/>
      <c r="AZ64" s="44"/>
      <c r="BA64" s="44"/>
    </row>
    <row r="65" spans="1:53" ht="16.5" x14ac:dyDescent="0.25">
      <c r="A65" s="45">
        <v>64</v>
      </c>
      <c r="B65" s="38" t="s">
        <v>361</v>
      </c>
      <c r="C65" s="51">
        <v>42581</v>
      </c>
      <c r="D65" s="38" t="s">
        <v>451</v>
      </c>
      <c r="E65" s="38" t="s">
        <v>452</v>
      </c>
      <c r="F65" s="38" t="s">
        <v>453</v>
      </c>
      <c r="G65" s="38" t="s">
        <v>454</v>
      </c>
      <c r="H65" s="38" t="s">
        <v>455</v>
      </c>
      <c r="I65" s="38" t="s">
        <v>456</v>
      </c>
      <c r="J65" s="38">
        <v>2</v>
      </c>
      <c r="K65" s="38" t="s">
        <v>256</v>
      </c>
      <c r="L65" s="38">
        <v>2</v>
      </c>
      <c r="M65" s="38">
        <v>32</v>
      </c>
      <c r="N65" s="38"/>
      <c r="O65" s="46" t="s">
        <v>570</v>
      </c>
      <c r="P65" s="38">
        <v>78.95</v>
      </c>
      <c r="Q65" s="38">
        <v>46.95</v>
      </c>
      <c r="R65" s="38">
        <v>2</v>
      </c>
      <c r="S65" s="38"/>
      <c r="T65" s="38">
        <v>1</v>
      </c>
      <c r="U65" s="38" t="str">
        <f t="shared" si="5"/>
        <v>Positive</v>
      </c>
      <c r="V65" s="47"/>
      <c r="Y65" s="44"/>
      <c r="AA65" s="45"/>
      <c r="AB65" s="38"/>
      <c r="AC65" s="51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47"/>
      <c r="AW65" s="44"/>
      <c r="AX65" s="44"/>
      <c r="AY65" s="44"/>
      <c r="AZ65" s="44"/>
      <c r="BA65" s="44"/>
    </row>
    <row r="66" spans="1:53" ht="16.5" x14ac:dyDescent="0.25">
      <c r="A66" s="45">
        <v>65</v>
      </c>
      <c r="B66" s="38" t="s">
        <v>361</v>
      </c>
      <c r="C66" s="51">
        <v>42581</v>
      </c>
      <c r="D66" s="38" t="s">
        <v>451</v>
      </c>
      <c r="E66" s="38" t="s">
        <v>452</v>
      </c>
      <c r="F66" s="38" t="s">
        <v>453</v>
      </c>
      <c r="G66" s="38" t="s">
        <v>454</v>
      </c>
      <c r="H66" s="38" t="s">
        <v>455</v>
      </c>
      <c r="I66" s="38" t="s">
        <v>456</v>
      </c>
      <c r="J66" s="38">
        <v>2</v>
      </c>
      <c r="K66" s="38" t="s">
        <v>248</v>
      </c>
      <c r="L66" s="38">
        <v>2</v>
      </c>
      <c r="M66" s="38">
        <v>20</v>
      </c>
      <c r="N66" s="38"/>
      <c r="O66" s="46" t="s">
        <v>227</v>
      </c>
      <c r="P66" s="38">
        <v>50</v>
      </c>
      <c r="Q66" s="38">
        <v>50</v>
      </c>
      <c r="R66" s="38">
        <v>4</v>
      </c>
      <c r="S66" s="38" t="s">
        <v>457</v>
      </c>
      <c r="T66" s="38">
        <v>1</v>
      </c>
      <c r="U66" s="38" t="str">
        <f t="shared" si="5"/>
        <v>Positive</v>
      </c>
      <c r="V66" s="47"/>
      <c r="Y66" s="44"/>
      <c r="AA66" s="45"/>
      <c r="AB66" s="38"/>
      <c r="AC66" s="51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47"/>
      <c r="AW66" s="44"/>
      <c r="AX66" s="44"/>
      <c r="AY66" s="44"/>
      <c r="AZ66" s="44"/>
      <c r="BA66" s="44"/>
    </row>
    <row r="67" spans="1:53" ht="16.5" x14ac:dyDescent="0.25">
      <c r="A67" s="45">
        <v>66</v>
      </c>
      <c r="B67" s="38" t="s">
        <v>361</v>
      </c>
      <c r="C67" s="51">
        <v>42582</v>
      </c>
      <c r="D67" s="38" t="s">
        <v>451</v>
      </c>
      <c r="E67" s="38" t="s">
        <v>452</v>
      </c>
      <c r="F67" s="38" t="s">
        <v>453</v>
      </c>
      <c r="G67" s="38" t="s">
        <v>458</v>
      </c>
      <c r="H67" s="38" t="s">
        <v>459</v>
      </c>
      <c r="I67" s="38" t="s">
        <v>460</v>
      </c>
      <c r="J67" s="38">
        <v>4</v>
      </c>
      <c r="K67" s="38" t="s">
        <v>256</v>
      </c>
      <c r="L67" s="38">
        <v>47</v>
      </c>
      <c r="M67" s="38">
        <v>18</v>
      </c>
      <c r="N67" s="38"/>
      <c r="O67" s="46" t="s">
        <v>571</v>
      </c>
      <c r="P67" s="38">
        <v>69</v>
      </c>
      <c r="Q67" s="38">
        <f t="shared" ref="Q67:Q81" si="7">P67-M67</f>
        <v>51</v>
      </c>
      <c r="R67" s="38">
        <v>2.8</v>
      </c>
      <c r="S67" s="38"/>
      <c r="T67" s="38"/>
      <c r="U67" s="38"/>
      <c r="V67" s="47"/>
      <c r="Y67" s="44"/>
      <c r="AA67" s="45"/>
      <c r="AB67" s="38"/>
      <c r="AC67" s="51"/>
      <c r="AD67" s="38"/>
      <c r="AE67" s="68"/>
      <c r="AF67" s="38"/>
      <c r="AG67" s="68"/>
      <c r="AH67" s="38"/>
      <c r="AI67" s="38"/>
      <c r="AJ67" s="38"/>
      <c r="AK67" s="69"/>
      <c r="AL67" s="38"/>
      <c r="AM67" s="38"/>
      <c r="AN67" s="38"/>
      <c r="AO67" s="38"/>
      <c r="AP67" s="38"/>
      <c r="AQ67" s="38"/>
      <c r="AR67" s="38"/>
      <c r="AS67" s="38"/>
      <c r="AT67" s="38"/>
      <c r="AU67" s="70"/>
      <c r="AV67" s="47"/>
      <c r="AW67" s="44"/>
      <c r="AX67" s="44"/>
      <c r="AY67" s="44"/>
      <c r="AZ67" s="44"/>
      <c r="BA67" s="44"/>
    </row>
    <row r="68" spans="1:53" ht="16.5" x14ac:dyDescent="0.25">
      <c r="A68" s="45">
        <v>67</v>
      </c>
      <c r="B68" s="38" t="s">
        <v>361</v>
      </c>
      <c r="C68" s="51">
        <v>42582</v>
      </c>
      <c r="D68" s="38" t="s">
        <v>451</v>
      </c>
      <c r="E68" s="38" t="s">
        <v>452</v>
      </c>
      <c r="F68" s="38" t="s">
        <v>453</v>
      </c>
      <c r="G68" s="38" t="s">
        <v>458</v>
      </c>
      <c r="H68" s="38" t="s">
        <v>459</v>
      </c>
      <c r="I68" s="38" t="s">
        <v>461</v>
      </c>
      <c r="J68" s="38">
        <v>2</v>
      </c>
      <c r="K68" s="38" t="s">
        <v>222</v>
      </c>
      <c r="L68" s="38">
        <v>40</v>
      </c>
      <c r="M68" s="38">
        <v>18</v>
      </c>
      <c r="N68" s="38"/>
      <c r="O68" s="46" t="s">
        <v>462</v>
      </c>
      <c r="P68" s="38">
        <v>69</v>
      </c>
      <c r="Q68" s="38">
        <f t="shared" si="7"/>
        <v>51</v>
      </c>
      <c r="R68" s="38">
        <v>1.2</v>
      </c>
      <c r="S68" s="38"/>
      <c r="T68" s="38"/>
      <c r="U68" s="38"/>
      <c r="V68" s="47"/>
      <c r="Y68" s="44"/>
      <c r="AA68" s="45"/>
      <c r="AB68" s="38"/>
      <c r="AC68" s="51"/>
      <c r="AD68" s="38"/>
      <c r="AE68" s="68"/>
      <c r="AF68" s="38"/>
      <c r="AG68" s="68"/>
      <c r="AH68" s="38"/>
      <c r="AI68" s="38"/>
      <c r="AJ68" s="38"/>
      <c r="AK68" s="69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47"/>
      <c r="AW68" s="44"/>
      <c r="AX68" s="44"/>
      <c r="AY68" s="44"/>
      <c r="AZ68" s="44"/>
      <c r="BA68" s="44"/>
    </row>
    <row r="69" spans="1:53" ht="16.5" x14ac:dyDescent="0.25">
      <c r="A69" s="45">
        <v>68</v>
      </c>
      <c r="B69" s="38" t="s">
        <v>361</v>
      </c>
      <c r="C69" s="51">
        <v>42553</v>
      </c>
      <c r="D69" s="38" t="s">
        <v>451</v>
      </c>
      <c r="E69" s="38" t="s">
        <v>452</v>
      </c>
      <c r="F69" s="38" t="s">
        <v>453</v>
      </c>
      <c r="G69" s="38" t="s">
        <v>454</v>
      </c>
      <c r="H69" s="38" t="s">
        <v>463</v>
      </c>
      <c r="I69" s="38" t="s">
        <v>464</v>
      </c>
      <c r="J69" s="38">
        <v>4</v>
      </c>
      <c r="K69" s="38" t="s">
        <v>222</v>
      </c>
      <c r="L69" s="38">
        <v>37</v>
      </c>
      <c r="M69" s="38">
        <v>10</v>
      </c>
      <c r="N69" s="38"/>
      <c r="O69" s="66" t="s">
        <v>572</v>
      </c>
      <c r="P69" s="38">
        <v>73.150000000000006</v>
      </c>
      <c r="Q69" s="38">
        <f t="shared" si="7"/>
        <v>63.150000000000006</v>
      </c>
      <c r="R69" s="38">
        <v>9</v>
      </c>
      <c r="S69" s="38" t="s">
        <v>465</v>
      </c>
      <c r="T69" s="38">
        <v>5</v>
      </c>
      <c r="U69" s="38" t="str">
        <f t="shared" ref="U69:U83" si="8">IF(R69&gt;=T69,"Positive","Negative")</f>
        <v>Positive</v>
      </c>
      <c r="V69" s="47"/>
      <c r="Y69" s="44"/>
      <c r="AA69" s="45"/>
      <c r="AB69" s="38"/>
      <c r="AC69" s="51"/>
      <c r="AD69" s="38"/>
      <c r="AE69" s="68"/>
      <c r="AF69" s="38"/>
      <c r="AG69" s="68"/>
      <c r="AH69" s="38"/>
      <c r="AI69" s="38"/>
      <c r="AJ69" s="38"/>
      <c r="AK69" s="69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47"/>
      <c r="AW69" s="44"/>
      <c r="AX69" s="44"/>
      <c r="AY69" s="44"/>
      <c r="AZ69" s="44"/>
      <c r="BA69" s="44"/>
    </row>
    <row r="70" spans="1:53" ht="16.5" x14ac:dyDescent="0.25">
      <c r="A70" s="45">
        <v>69</v>
      </c>
      <c r="B70" s="38" t="s">
        <v>361</v>
      </c>
      <c r="C70" s="51">
        <v>42554</v>
      </c>
      <c r="D70" s="38" t="s">
        <v>451</v>
      </c>
      <c r="E70" s="38" t="s">
        <v>452</v>
      </c>
      <c r="F70" s="38" t="s">
        <v>466</v>
      </c>
      <c r="G70" s="38" t="s">
        <v>467</v>
      </c>
      <c r="H70" s="38" t="s">
        <v>468</v>
      </c>
      <c r="I70" s="38" t="s">
        <v>469</v>
      </c>
      <c r="J70" s="38">
        <v>3</v>
      </c>
      <c r="K70" s="38" t="s">
        <v>248</v>
      </c>
      <c r="L70" s="38">
        <v>55</v>
      </c>
      <c r="M70" s="38">
        <v>4</v>
      </c>
      <c r="N70" s="38"/>
      <c r="O70" s="46" t="s">
        <v>573</v>
      </c>
      <c r="P70" s="38">
        <v>100.3</v>
      </c>
      <c r="Q70" s="38">
        <f t="shared" si="7"/>
        <v>96.3</v>
      </c>
      <c r="R70" s="38">
        <v>0.5</v>
      </c>
      <c r="S70" s="38">
        <v>79</v>
      </c>
      <c r="T70" s="38">
        <v>5</v>
      </c>
      <c r="U70" s="38" t="str">
        <f t="shared" si="8"/>
        <v>Negative</v>
      </c>
      <c r="V70" s="47"/>
      <c r="Y70" s="44"/>
      <c r="AA70" s="45"/>
      <c r="AB70" s="71"/>
      <c r="AC70" s="72"/>
      <c r="AD70" s="52"/>
      <c r="AE70" s="56"/>
      <c r="AF70" s="52"/>
      <c r="AG70" s="56"/>
      <c r="AH70" s="52"/>
      <c r="AI70" s="52"/>
      <c r="AJ70" s="52"/>
      <c r="AK70" s="57"/>
      <c r="AL70" s="52"/>
      <c r="AM70" s="52"/>
      <c r="AN70" s="52"/>
      <c r="AO70" s="52"/>
      <c r="AP70" s="52"/>
      <c r="AQ70" s="52"/>
      <c r="AR70" s="52"/>
      <c r="AS70" s="52"/>
      <c r="AT70" s="52"/>
      <c r="AU70" s="38"/>
      <c r="AV70" s="58"/>
      <c r="AW70" s="44"/>
      <c r="AX70" s="44"/>
      <c r="AY70" s="44"/>
      <c r="AZ70" s="44"/>
      <c r="BA70" s="44"/>
    </row>
    <row r="71" spans="1:53" ht="16.5" x14ac:dyDescent="0.25">
      <c r="A71" s="45">
        <v>70</v>
      </c>
      <c r="B71" s="38" t="s">
        <v>361</v>
      </c>
      <c r="C71" s="51">
        <v>42554</v>
      </c>
      <c r="D71" s="38" t="s">
        <v>451</v>
      </c>
      <c r="E71" s="38" t="s">
        <v>452</v>
      </c>
      <c r="F71" s="38" t="s">
        <v>466</v>
      </c>
      <c r="G71" s="38" t="s">
        <v>467</v>
      </c>
      <c r="H71" s="38" t="s">
        <v>468</v>
      </c>
      <c r="I71" s="38" t="s">
        <v>469</v>
      </c>
      <c r="J71" s="38">
        <v>3</v>
      </c>
      <c r="K71" s="38" t="s">
        <v>256</v>
      </c>
      <c r="L71" s="38">
        <v>45</v>
      </c>
      <c r="M71" s="38">
        <v>2.96</v>
      </c>
      <c r="N71" s="38"/>
      <c r="O71" s="46" t="s">
        <v>257</v>
      </c>
      <c r="P71" s="38">
        <v>80</v>
      </c>
      <c r="Q71" s="38">
        <f t="shared" si="7"/>
        <v>77.040000000000006</v>
      </c>
      <c r="R71" s="38">
        <v>0.5</v>
      </c>
      <c r="S71" s="38" t="s">
        <v>274</v>
      </c>
      <c r="T71" s="38">
        <v>5</v>
      </c>
      <c r="U71" s="38" t="str">
        <f t="shared" si="8"/>
        <v>Negative</v>
      </c>
      <c r="V71" s="47"/>
      <c r="Y71" s="44"/>
      <c r="AA71" s="73"/>
      <c r="AB71" s="38"/>
      <c r="AC71" s="51"/>
      <c r="AD71" s="74"/>
      <c r="AE71" s="74"/>
      <c r="AF71" s="74"/>
      <c r="AG71" s="74"/>
      <c r="AH71" s="74"/>
      <c r="AI71" s="74"/>
      <c r="AJ71" s="74"/>
      <c r="AK71" s="74"/>
      <c r="AL71" s="74"/>
      <c r="AM71" s="38"/>
      <c r="AN71" s="75"/>
      <c r="AO71" s="76"/>
      <c r="AP71" s="74"/>
      <c r="AQ71" s="74"/>
      <c r="AR71" s="74"/>
      <c r="AS71" s="74"/>
      <c r="AT71" s="74"/>
      <c r="AU71" s="74"/>
      <c r="AV71" s="77"/>
      <c r="AW71" s="44"/>
      <c r="AX71" s="44"/>
      <c r="AY71" s="44"/>
      <c r="AZ71" s="44"/>
      <c r="BA71" s="44"/>
    </row>
    <row r="72" spans="1:53" ht="16.5" x14ac:dyDescent="0.25">
      <c r="A72" s="45">
        <v>71</v>
      </c>
      <c r="B72" s="38" t="s">
        <v>361</v>
      </c>
      <c r="C72" s="51">
        <v>42568</v>
      </c>
      <c r="D72" s="38" t="s">
        <v>451</v>
      </c>
      <c r="E72" s="38" t="s">
        <v>452</v>
      </c>
      <c r="F72" s="38" t="s">
        <v>466</v>
      </c>
      <c r="G72" s="38" t="s">
        <v>467</v>
      </c>
      <c r="H72" s="38" t="s">
        <v>470</v>
      </c>
      <c r="I72" s="38" t="s">
        <v>471</v>
      </c>
      <c r="J72" s="38">
        <v>2</v>
      </c>
      <c r="K72" s="38" t="s">
        <v>222</v>
      </c>
      <c r="L72" s="38">
        <v>45</v>
      </c>
      <c r="M72" s="38">
        <v>22</v>
      </c>
      <c r="N72" s="38"/>
      <c r="O72" s="46" t="s">
        <v>574</v>
      </c>
      <c r="P72" s="38">
        <v>70</v>
      </c>
      <c r="Q72" s="38">
        <f t="shared" si="7"/>
        <v>48</v>
      </c>
      <c r="R72" s="38">
        <v>2</v>
      </c>
      <c r="S72" s="38" t="s">
        <v>472</v>
      </c>
      <c r="T72" s="38">
        <v>5</v>
      </c>
      <c r="U72" s="38" t="str">
        <f t="shared" si="8"/>
        <v>Negative</v>
      </c>
      <c r="V72" s="47"/>
      <c r="Y72" s="44"/>
      <c r="AA72" s="73"/>
      <c r="AB72" s="38"/>
      <c r="AC72" s="51"/>
      <c r="AD72" s="74"/>
      <c r="AE72" s="74"/>
      <c r="AF72" s="74"/>
      <c r="AG72" s="74"/>
      <c r="AH72" s="74"/>
      <c r="AI72" s="74"/>
      <c r="AJ72" s="74"/>
      <c r="AK72" s="74"/>
      <c r="AL72" s="74"/>
      <c r="AM72" s="38"/>
      <c r="AN72" s="75"/>
      <c r="AO72" s="76"/>
      <c r="AP72" s="74"/>
      <c r="AQ72" s="74"/>
      <c r="AR72" s="74"/>
      <c r="AS72" s="74"/>
      <c r="AT72" s="74"/>
      <c r="AU72" s="74"/>
      <c r="AV72" s="77"/>
      <c r="AW72" s="44"/>
      <c r="AX72" s="44"/>
      <c r="AY72" s="44"/>
      <c r="AZ72" s="44"/>
      <c r="BA72" s="44"/>
    </row>
    <row r="73" spans="1:53" ht="16.5" x14ac:dyDescent="0.25">
      <c r="A73" s="45">
        <v>72</v>
      </c>
      <c r="B73" s="38" t="s">
        <v>361</v>
      </c>
      <c r="C73" s="51">
        <v>42570</v>
      </c>
      <c r="D73" s="38" t="s">
        <v>451</v>
      </c>
      <c r="E73" s="38" t="s">
        <v>452</v>
      </c>
      <c r="F73" s="38" t="s">
        <v>466</v>
      </c>
      <c r="G73" s="38" t="s">
        <v>473</v>
      </c>
      <c r="H73" s="38" t="s">
        <v>474</v>
      </c>
      <c r="I73" s="38" t="s">
        <v>475</v>
      </c>
      <c r="J73" s="38">
        <v>5</v>
      </c>
      <c r="K73" s="38" t="s">
        <v>248</v>
      </c>
      <c r="L73" s="38">
        <v>45</v>
      </c>
      <c r="M73" s="38">
        <v>9</v>
      </c>
      <c r="N73" s="38"/>
      <c r="O73" s="46" t="s">
        <v>571</v>
      </c>
      <c r="P73" s="38">
        <v>100.5</v>
      </c>
      <c r="Q73" s="38">
        <f t="shared" si="7"/>
        <v>91.5</v>
      </c>
      <c r="R73" s="38">
        <v>2</v>
      </c>
      <c r="S73" s="38" t="s">
        <v>476</v>
      </c>
      <c r="T73" s="38">
        <v>5</v>
      </c>
      <c r="U73" s="38" t="str">
        <f t="shared" si="8"/>
        <v>Negative</v>
      </c>
      <c r="V73" s="47"/>
      <c r="Y73" s="44"/>
      <c r="AA73" s="73"/>
      <c r="AB73" s="38"/>
      <c r="AC73" s="51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5"/>
      <c r="AO73" s="76"/>
      <c r="AP73" s="74"/>
      <c r="AQ73" s="74"/>
      <c r="AR73" s="78"/>
      <c r="AS73" s="74"/>
      <c r="AT73" s="74"/>
      <c r="AU73" s="74"/>
      <c r="AV73" s="77"/>
      <c r="AW73" s="44"/>
      <c r="AX73" s="44"/>
      <c r="AY73" s="44"/>
      <c r="AZ73" s="44"/>
      <c r="BA73" s="44"/>
    </row>
    <row r="74" spans="1:53" ht="16.5" x14ac:dyDescent="0.25">
      <c r="A74" s="45">
        <v>73</v>
      </c>
      <c r="B74" s="38" t="s">
        <v>361</v>
      </c>
      <c r="C74" s="51">
        <v>42686</v>
      </c>
      <c r="D74" s="38" t="s">
        <v>451</v>
      </c>
      <c r="E74" s="38" t="s">
        <v>452</v>
      </c>
      <c r="F74" s="38" t="s">
        <v>466</v>
      </c>
      <c r="G74" s="38" t="s">
        <v>473</v>
      </c>
      <c r="H74" s="38" t="s">
        <v>474</v>
      </c>
      <c r="I74" s="38" t="s">
        <v>477</v>
      </c>
      <c r="J74" s="38">
        <v>3</v>
      </c>
      <c r="K74" s="38" t="s">
        <v>222</v>
      </c>
      <c r="L74" s="38">
        <v>32</v>
      </c>
      <c r="M74" s="38">
        <v>9</v>
      </c>
      <c r="N74" s="38"/>
      <c r="O74" s="46" t="s">
        <v>273</v>
      </c>
      <c r="P74" s="38">
        <v>73.41</v>
      </c>
      <c r="Q74" s="38">
        <f t="shared" si="7"/>
        <v>64.41</v>
      </c>
      <c r="R74" s="38">
        <v>4.2</v>
      </c>
      <c r="S74" s="38" t="s">
        <v>478</v>
      </c>
      <c r="T74" s="38">
        <v>4</v>
      </c>
      <c r="U74" s="38" t="str">
        <f t="shared" si="8"/>
        <v>Positive</v>
      </c>
      <c r="V74" s="47"/>
      <c r="Y74" s="44"/>
      <c r="AA74" s="73"/>
      <c r="AB74" s="38"/>
      <c r="AC74" s="51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5"/>
      <c r="AO74" s="76"/>
      <c r="AP74" s="74"/>
      <c r="AQ74" s="74"/>
      <c r="AR74" s="78"/>
      <c r="AS74" s="74"/>
      <c r="AT74" s="74"/>
      <c r="AU74" s="79"/>
      <c r="AV74" s="77"/>
      <c r="AW74" s="44"/>
      <c r="AX74" s="44"/>
      <c r="AY74" s="44"/>
      <c r="AZ74" s="44"/>
      <c r="BA74" s="44"/>
    </row>
    <row r="75" spans="1:53" ht="16.5" x14ac:dyDescent="0.25">
      <c r="A75" s="45">
        <v>74</v>
      </c>
      <c r="B75" s="38" t="s">
        <v>361</v>
      </c>
      <c r="C75" s="51">
        <v>42570</v>
      </c>
      <c r="D75" s="38" t="s">
        <v>451</v>
      </c>
      <c r="E75" s="38" t="s">
        <v>452</v>
      </c>
      <c r="F75" s="38" t="s">
        <v>466</v>
      </c>
      <c r="G75" s="38" t="s">
        <v>473</v>
      </c>
      <c r="H75" s="38" t="s">
        <v>474</v>
      </c>
      <c r="I75" s="38" t="s">
        <v>475</v>
      </c>
      <c r="J75" s="38">
        <v>5</v>
      </c>
      <c r="K75" s="38" t="s">
        <v>479</v>
      </c>
      <c r="L75" s="38">
        <v>45</v>
      </c>
      <c r="M75" s="38">
        <v>15</v>
      </c>
      <c r="N75" s="38"/>
      <c r="O75" s="46" t="s">
        <v>350</v>
      </c>
      <c r="P75" s="38">
        <v>80</v>
      </c>
      <c r="Q75" s="38">
        <f t="shared" si="7"/>
        <v>65</v>
      </c>
      <c r="R75" s="38">
        <v>1</v>
      </c>
      <c r="S75" s="38" t="s">
        <v>480</v>
      </c>
      <c r="T75" s="38">
        <v>5</v>
      </c>
      <c r="U75" s="38" t="str">
        <f t="shared" si="8"/>
        <v>Negative</v>
      </c>
      <c r="V75" s="47"/>
      <c r="Y75" s="44"/>
      <c r="AA75" s="73"/>
      <c r="AB75" s="38"/>
      <c r="AC75" s="51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5"/>
      <c r="AO75" s="80"/>
      <c r="AP75" s="74"/>
      <c r="AQ75" s="74"/>
      <c r="AR75" s="78"/>
      <c r="AS75" s="74"/>
      <c r="AT75" s="74"/>
      <c r="AU75" s="74"/>
      <c r="AV75" s="77"/>
      <c r="AW75" s="44"/>
      <c r="AX75" s="44"/>
      <c r="AY75" s="44"/>
      <c r="AZ75" s="44"/>
      <c r="BA75" s="44"/>
    </row>
    <row r="76" spans="1:53" ht="16.5" x14ac:dyDescent="0.25">
      <c r="A76" s="45">
        <v>75</v>
      </c>
      <c r="B76" s="38" t="s">
        <v>361</v>
      </c>
      <c r="C76" s="51">
        <v>42567</v>
      </c>
      <c r="D76" s="38" t="s">
        <v>451</v>
      </c>
      <c r="E76" s="38" t="s">
        <v>452</v>
      </c>
      <c r="F76" s="38" t="s">
        <v>466</v>
      </c>
      <c r="G76" s="38" t="s">
        <v>473</v>
      </c>
      <c r="H76" s="38" t="s">
        <v>481</v>
      </c>
      <c r="I76" s="38" t="s">
        <v>482</v>
      </c>
      <c r="J76" s="38">
        <v>2</v>
      </c>
      <c r="K76" s="38" t="s">
        <v>256</v>
      </c>
      <c r="L76" s="38">
        <v>45</v>
      </c>
      <c r="M76" s="38">
        <v>20</v>
      </c>
      <c r="N76" s="38"/>
      <c r="O76" s="46" t="s">
        <v>573</v>
      </c>
      <c r="P76" s="38">
        <v>63.5</v>
      </c>
      <c r="Q76" s="38">
        <f t="shared" si="7"/>
        <v>43.5</v>
      </c>
      <c r="R76" s="38">
        <v>3.5</v>
      </c>
      <c r="S76" s="38" t="s">
        <v>483</v>
      </c>
      <c r="T76" s="38">
        <v>5</v>
      </c>
      <c r="U76" s="38" t="str">
        <f t="shared" si="8"/>
        <v>Negative</v>
      </c>
      <c r="V76" s="47"/>
      <c r="Y76" s="44"/>
      <c r="AA76" s="73"/>
      <c r="AB76" s="38"/>
      <c r="AC76" s="51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5"/>
      <c r="AO76" s="76"/>
      <c r="AP76" s="74"/>
      <c r="AQ76" s="74"/>
      <c r="AR76" s="78"/>
      <c r="AS76" s="74"/>
      <c r="AT76" s="74"/>
      <c r="AU76" s="74"/>
      <c r="AV76" s="77"/>
      <c r="AW76" s="44"/>
      <c r="AX76" s="44"/>
      <c r="AY76" s="44"/>
      <c r="AZ76" s="44"/>
      <c r="BA76" s="44"/>
    </row>
    <row r="77" spans="1:53" ht="16.5" x14ac:dyDescent="0.25">
      <c r="A77" s="45">
        <v>76</v>
      </c>
      <c r="B77" s="38" t="s">
        <v>361</v>
      </c>
      <c r="C77" s="51">
        <v>42689</v>
      </c>
      <c r="D77" s="38" t="s">
        <v>451</v>
      </c>
      <c r="E77" s="38" t="s">
        <v>452</v>
      </c>
      <c r="F77" s="38" t="s">
        <v>466</v>
      </c>
      <c r="G77" s="38" t="s">
        <v>473</v>
      </c>
      <c r="H77" s="38" t="s">
        <v>481</v>
      </c>
      <c r="I77" s="38" t="s">
        <v>484</v>
      </c>
      <c r="J77" s="38">
        <v>2</v>
      </c>
      <c r="K77" s="38" t="s">
        <v>222</v>
      </c>
      <c r="L77" s="38">
        <v>35</v>
      </c>
      <c r="M77" s="38">
        <v>26</v>
      </c>
      <c r="N77" s="38"/>
      <c r="O77" s="46" t="s">
        <v>575</v>
      </c>
      <c r="P77" s="38">
        <v>80</v>
      </c>
      <c r="Q77" s="38">
        <f t="shared" si="7"/>
        <v>54</v>
      </c>
      <c r="R77" s="38">
        <v>1</v>
      </c>
      <c r="S77" s="38" t="s">
        <v>485</v>
      </c>
      <c r="T77" s="38">
        <v>5</v>
      </c>
      <c r="U77" s="38" t="str">
        <f t="shared" si="8"/>
        <v>Negative</v>
      </c>
      <c r="V77" s="47"/>
      <c r="Y77" s="44"/>
      <c r="AA77" s="73"/>
      <c r="AB77" s="38"/>
      <c r="AC77" s="51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5"/>
      <c r="AO77" s="76"/>
      <c r="AP77" s="74"/>
      <c r="AQ77" s="74"/>
      <c r="AR77" s="78"/>
      <c r="AS77" s="74"/>
      <c r="AT77" s="74"/>
      <c r="AU77" s="74"/>
      <c r="AV77" s="77"/>
      <c r="AW77" s="44"/>
      <c r="AX77" s="44"/>
      <c r="AY77" s="44"/>
      <c r="AZ77" s="44"/>
      <c r="BA77" s="44"/>
    </row>
    <row r="78" spans="1:53" ht="16.5" x14ac:dyDescent="0.25">
      <c r="A78" s="45">
        <v>77</v>
      </c>
      <c r="B78" s="38" t="s">
        <v>361</v>
      </c>
      <c r="C78" s="51">
        <v>42569</v>
      </c>
      <c r="D78" s="38" t="s">
        <v>451</v>
      </c>
      <c r="E78" s="38" t="s">
        <v>452</v>
      </c>
      <c r="F78" s="38" t="s">
        <v>466</v>
      </c>
      <c r="G78" s="38" t="s">
        <v>486</v>
      </c>
      <c r="H78" s="38" t="s">
        <v>487</v>
      </c>
      <c r="I78" s="38" t="s">
        <v>488</v>
      </c>
      <c r="J78" s="38">
        <v>3</v>
      </c>
      <c r="K78" s="38" t="s">
        <v>248</v>
      </c>
      <c r="L78" s="38">
        <v>50</v>
      </c>
      <c r="M78" s="38">
        <v>12.5</v>
      </c>
      <c r="N78" s="38"/>
      <c r="O78" s="46" t="s">
        <v>573</v>
      </c>
      <c r="P78" s="38">
        <v>68.650000000000006</v>
      </c>
      <c r="Q78" s="38">
        <f t="shared" si="7"/>
        <v>56.150000000000006</v>
      </c>
      <c r="R78" s="38">
        <v>12</v>
      </c>
      <c r="S78" s="38" t="s">
        <v>489</v>
      </c>
      <c r="T78" s="38">
        <v>5</v>
      </c>
      <c r="U78" s="38" t="str">
        <f t="shared" si="8"/>
        <v>Positive</v>
      </c>
      <c r="V78" s="47"/>
      <c r="Y78" s="44"/>
      <c r="AA78" s="73"/>
      <c r="AB78" s="38"/>
      <c r="AC78" s="51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5"/>
      <c r="AO78" s="76"/>
      <c r="AP78" s="74"/>
      <c r="AQ78" s="74"/>
      <c r="AR78" s="81"/>
      <c r="AS78" s="74"/>
      <c r="AT78" s="74"/>
      <c r="AU78" s="74"/>
      <c r="AV78" s="77"/>
      <c r="AW78" s="44"/>
      <c r="AX78" s="44"/>
      <c r="AY78" s="44"/>
      <c r="AZ78" s="44"/>
      <c r="BA78" s="44"/>
    </row>
    <row r="79" spans="1:53" ht="16.5" x14ac:dyDescent="0.25">
      <c r="A79" s="45">
        <v>78</v>
      </c>
      <c r="B79" s="38" t="s">
        <v>361</v>
      </c>
      <c r="C79" s="51">
        <v>42567</v>
      </c>
      <c r="D79" s="38" t="s">
        <v>451</v>
      </c>
      <c r="E79" s="38" t="s">
        <v>452</v>
      </c>
      <c r="F79" s="38" t="s">
        <v>466</v>
      </c>
      <c r="G79" s="38" t="s">
        <v>473</v>
      </c>
      <c r="H79" s="38" t="s">
        <v>490</v>
      </c>
      <c r="I79" s="38" t="s">
        <v>491</v>
      </c>
      <c r="J79" s="38">
        <v>1</v>
      </c>
      <c r="K79" s="38" t="s">
        <v>248</v>
      </c>
      <c r="L79" s="38">
        <v>50</v>
      </c>
      <c r="M79" s="38">
        <v>12.5</v>
      </c>
      <c r="N79" s="38"/>
      <c r="O79" s="46" t="s">
        <v>350</v>
      </c>
      <c r="P79" s="38">
        <v>72</v>
      </c>
      <c r="Q79" s="38">
        <f t="shared" si="7"/>
        <v>59.5</v>
      </c>
      <c r="R79" s="38">
        <v>18</v>
      </c>
      <c r="S79" s="38" t="s">
        <v>492</v>
      </c>
      <c r="T79" s="38">
        <v>5</v>
      </c>
      <c r="U79" s="38" t="str">
        <f t="shared" si="8"/>
        <v>Positive</v>
      </c>
      <c r="V79" s="47"/>
      <c r="Y79" s="44"/>
      <c r="AA79" s="73"/>
      <c r="AB79" s="38"/>
      <c r="AC79" s="51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5"/>
      <c r="AO79" s="76"/>
      <c r="AP79" s="74"/>
      <c r="AQ79" s="74"/>
      <c r="AR79" s="78"/>
      <c r="AS79" s="74"/>
      <c r="AT79" s="74"/>
      <c r="AU79" s="79"/>
      <c r="AV79" s="77"/>
      <c r="AW79" s="44"/>
      <c r="AX79" s="44"/>
      <c r="AY79" s="44"/>
      <c r="AZ79" s="44"/>
      <c r="BA79" s="44"/>
    </row>
    <row r="80" spans="1:53" ht="16.5" x14ac:dyDescent="0.25">
      <c r="A80" s="45">
        <v>79</v>
      </c>
      <c r="B80" s="38" t="s">
        <v>361</v>
      </c>
      <c r="C80" s="51">
        <v>42573</v>
      </c>
      <c r="D80" s="38" t="s">
        <v>451</v>
      </c>
      <c r="E80" s="38" t="s">
        <v>452</v>
      </c>
      <c r="F80" s="38" t="s">
        <v>466</v>
      </c>
      <c r="G80" s="38" t="s">
        <v>473</v>
      </c>
      <c r="H80" s="38" t="s">
        <v>493</v>
      </c>
      <c r="I80" s="38" t="s">
        <v>494</v>
      </c>
      <c r="J80" s="38">
        <v>3</v>
      </c>
      <c r="K80" s="38" t="s">
        <v>222</v>
      </c>
      <c r="L80" s="38">
        <v>45</v>
      </c>
      <c r="M80" s="38">
        <v>24</v>
      </c>
      <c r="N80" s="38"/>
      <c r="O80" s="66" t="s">
        <v>576</v>
      </c>
      <c r="P80" s="38">
        <v>70.3</v>
      </c>
      <c r="Q80" s="38">
        <f t="shared" si="7"/>
        <v>46.3</v>
      </c>
      <c r="R80" s="38">
        <v>5.4</v>
      </c>
      <c r="S80" s="38" t="s">
        <v>495</v>
      </c>
      <c r="T80" s="38">
        <v>5</v>
      </c>
      <c r="U80" s="38" t="str">
        <f t="shared" si="8"/>
        <v>Positive</v>
      </c>
      <c r="V80" s="47"/>
      <c r="Y80" s="44"/>
      <c r="AA80" s="73"/>
      <c r="AB80" s="38"/>
      <c r="AC80" s="51"/>
      <c r="AD80" s="74"/>
      <c r="AE80" s="74"/>
      <c r="AF80" s="74"/>
      <c r="AG80" s="74"/>
      <c r="AH80" s="74"/>
      <c r="AI80" s="74"/>
      <c r="AJ80" s="74"/>
      <c r="AK80" s="74"/>
      <c r="AL80" s="74"/>
      <c r="AM80" s="38"/>
      <c r="AN80" s="75"/>
      <c r="AO80" s="76"/>
      <c r="AP80" s="74"/>
      <c r="AQ80" s="74"/>
      <c r="AR80" s="74"/>
      <c r="AS80" s="74"/>
      <c r="AT80" s="74"/>
      <c r="AU80" s="74"/>
      <c r="AV80" s="77"/>
      <c r="AW80" s="44"/>
      <c r="AX80" s="44"/>
      <c r="AY80" s="44"/>
      <c r="AZ80" s="44"/>
      <c r="BA80" s="44"/>
    </row>
    <row r="81" spans="1:53" ht="16.5" x14ac:dyDescent="0.25">
      <c r="A81" s="45">
        <v>80</v>
      </c>
      <c r="B81" s="38" t="s">
        <v>361</v>
      </c>
      <c r="C81" s="51">
        <v>42682</v>
      </c>
      <c r="D81" s="38" t="s">
        <v>451</v>
      </c>
      <c r="E81" s="38" t="s">
        <v>452</v>
      </c>
      <c r="F81" s="38" t="s">
        <v>453</v>
      </c>
      <c r="G81" s="38" t="s">
        <v>454</v>
      </c>
      <c r="H81" s="38" t="s">
        <v>496</v>
      </c>
      <c r="I81" s="38" t="s">
        <v>497</v>
      </c>
      <c r="J81" s="38">
        <v>3</v>
      </c>
      <c r="K81" s="38" t="s">
        <v>222</v>
      </c>
      <c r="L81" s="38">
        <v>40</v>
      </c>
      <c r="M81" s="38">
        <v>12</v>
      </c>
      <c r="N81" s="38"/>
      <c r="O81" s="46" t="s">
        <v>577</v>
      </c>
      <c r="P81" s="38">
        <v>73.150000000000006</v>
      </c>
      <c r="Q81" s="38">
        <f t="shared" si="7"/>
        <v>61.150000000000006</v>
      </c>
      <c r="R81" s="38">
        <v>9.5</v>
      </c>
      <c r="S81" s="38" t="s">
        <v>498</v>
      </c>
      <c r="T81" s="38">
        <v>5</v>
      </c>
      <c r="U81" s="38" t="str">
        <f t="shared" si="8"/>
        <v>Positive</v>
      </c>
      <c r="V81" s="47"/>
      <c r="Y81" s="44"/>
      <c r="AA81" s="73"/>
      <c r="AB81" s="82"/>
      <c r="AC81" s="83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5"/>
      <c r="AP81" s="84"/>
      <c r="AQ81" s="84"/>
      <c r="AR81" s="84"/>
      <c r="AS81" s="84"/>
      <c r="AT81" s="84"/>
      <c r="AU81" s="84"/>
      <c r="AV81" s="86"/>
      <c r="AW81" s="44"/>
      <c r="AX81" s="44"/>
      <c r="AY81" s="44"/>
      <c r="AZ81" s="44"/>
      <c r="BA81" s="44"/>
    </row>
    <row r="82" spans="1:53" ht="16.5" x14ac:dyDescent="0.25">
      <c r="A82" s="45">
        <v>81</v>
      </c>
      <c r="B82" s="38" t="s">
        <v>361</v>
      </c>
      <c r="C82" s="51">
        <v>42693</v>
      </c>
      <c r="D82" s="38" t="s">
        <v>451</v>
      </c>
      <c r="E82" s="38" t="s">
        <v>452</v>
      </c>
      <c r="F82" s="38" t="s">
        <v>453</v>
      </c>
      <c r="G82" s="38" t="s">
        <v>454</v>
      </c>
      <c r="H82" s="38" t="s">
        <v>496</v>
      </c>
      <c r="I82" s="38" t="s">
        <v>499</v>
      </c>
      <c r="J82" s="38">
        <v>2</v>
      </c>
      <c r="K82" s="38" t="s">
        <v>222</v>
      </c>
      <c r="L82" s="38">
        <v>40</v>
      </c>
      <c r="M82" s="38"/>
      <c r="N82" s="38"/>
      <c r="O82" s="46" t="s">
        <v>577</v>
      </c>
      <c r="P82" s="38"/>
      <c r="Q82" s="38"/>
      <c r="R82" s="38"/>
      <c r="S82" s="38"/>
      <c r="T82" s="38"/>
      <c r="U82" s="38"/>
      <c r="V82" s="47"/>
      <c r="Y82" s="44"/>
      <c r="AA82" s="73"/>
      <c r="AB82" s="82"/>
      <c r="AC82" s="83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7"/>
      <c r="AP82" s="84"/>
      <c r="AQ82" s="84"/>
      <c r="AR82" s="84"/>
      <c r="AS82" s="84"/>
      <c r="AT82" s="84"/>
      <c r="AU82" s="84"/>
      <c r="AV82" s="86"/>
      <c r="AW82" s="44"/>
      <c r="AX82" s="44"/>
      <c r="AY82" s="44"/>
      <c r="AZ82" s="44"/>
      <c r="BA82" s="44"/>
    </row>
    <row r="83" spans="1:53" ht="16.5" x14ac:dyDescent="0.25">
      <c r="A83" s="45">
        <v>82</v>
      </c>
      <c r="B83" s="38" t="s">
        <v>500</v>
      </c>
      <c r="C83" s="51">
        <v>42679</v>
      </c>
      <c r="D83" s="38" t="s">
        <v>451</v>
      </c>
      <c r="E83" s="38" t="s">
        <v>452</v>
      </c>
      <c r="F83" s="38" t="s">
        <v>466</v>
      </c>
      <c r="G83" s="38" t="s">
        <v>473</v>
      </c>
      <c r="H83" s="38" t="s">
        <v>501</v>
      </c>
      <c r="I83" s="38" t="s">
        <v>502</v>
      </c>
      <c r="J83" s="38">
        <v>3</v>
      </c>
      <c r="K83" s="38" t="s">
        <v>248</v>
      </c>
      <c r="L83" s="38">
        <v>35</v>
      </c>
      <c r="M83" s="38"/>
      <c r="N83" s="38"/>
      <c r="O83" s="46" t="s">
        <v>503</v>
      </c>
      <c r="P83" s="38">
        <v>80</v>
      </c>
      <c r="Q83" s="38"/>
      <c r="R83" s="38">
        <v>7</v>
      </c>
      <c r="S83" s="38"/>
      <c r="T83" s="52">
        <v>6</v>
      </c>
      <c r="U83" s="38" t="str">
        <f t="shared" si="8"/>
        <v>Positive</v>
      </c>
      <c r="V83" s="47"/>
      <c r="Y83" s="44"/>
      <c r="AA83" s="73"/>
      <c r="AB83" s="82"/>
      <c r="AC83" s="83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5"/>
      <c r="AP83" s="84"/>
      <c r="AQ83" s="84"/>
      <c r="AR83" s="84"/>
      <c r="AS83" s="84"/>
      <c r="AT83" s="88"/>
      <c r="AU83" s="84"/>
      <c r="AV83" s="86"/>
      <c r="AW83" s="44"/>
      <c r="AX83" s="44"/>
      <c r="AY83" s="44"/>
      <c r="AZ83" s="44"/>
      <c r="BA83" s="44"/>
    </row>
    <row r="84" spans="1:53" ht="16.5" x14ac:dyDescent="0.25">
      <c r="A84" s="45">
        <v>83</v>
      </c>
      <c r="B84" s="38" t="s">
        <v>500</v>
      </c>
      <c r="C84" s="51">
        <v>42680</v>
      </c>
      <c r="D84" s="38" t="s">
        <v>451</v>
      </c>
      <c r="E84" s="38" t="s">
        <v>452</v>
      </c>
      <c r="F84" s="38" t="s">
        <v>466</v>
      </c>
      <c r="G84" s="38" t="s">
        <v>473</v>
      </c>
      <c r="H84" s="38" t="s">
        <v>501</v>
      </c>
      <c r="I84" s="38" t="s">
        <v>504</v>
      </c>
      <c r="J84" s="38">
        <v>3</v>
      </c>
      <c r="K84" s="38" t="s">
        <v>222</v>
      </c>
      <c r="L84" s="38">
        <v>37.5</v>
      </c>
      <c r="M84" s="38"/>
      <c r="N84" s="38"/>
      <c r="O84" s="46" t="s">
        <v>505</v>
      </c>
      <c r="P84" s="38"/>
      <c r="Q84" s="38"/>
      <c r="R84" s="38"/>
      <c r="S84" s="38"/>
      <c r="T84" s="38"/>
      <c r="U84" s="70"/>
      <c r="V84" s="47"/>
      <c r="Y84" s="44"/>
      <c r="AA84" s="73"/>
      <c r="AB84" s="82"/>
      <c r="AC84" s="83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5"/>
      <c r="AP84" s="84"/>
      <c r="AQ84" s="84"/>
      <c r="AR84" s="84"/>
      <c r="AS84" s="84"/>
      <c r="AT84" s="84"/>
      <c r="AU84" s="84"/>
      <c r="AV84" s="86"/>
      <c r="AW84" s="44"/>
      <c r="AX84" s="44"/>
      <c r="AY84" s="44"/>
      <c r="AZ84" s="44"/>
      <c r="BA84" s="44"/>
    </row>
    <row r="85" spans="1:53" ht="16.5" x14ac:dyDescent="0.25">
      <c r="A85" s="45">
        <v>84</v>
      </c>
      <c r="B85" s="38" t="s">
        <v>361</v>
      </c>
      <c r="C85" s="51">
        <v>42582</v>
      </c>
      <c r="D85" s="38" t="s">
        <v>451</v>
      </c>
      <c r="E85" s="38" t="s">
        <v>452</v>
      </c>
      <c r="F85" s="38" t="s">
        <v>453</v>
      </c>
      <c r="G85" s="38" t="s">
        <v>454</v>
      </c>
      <c r="H85" s="38" t="s">
        <v>455</v>
      </c>
      <c r="I85" s="38" t="s">
        <v>506</v>
      </c>
      <c r="J85" s="38">
        <v>3</v>
      </c>
      <c r="K85" s="38" t="s">
        <v>256</v>
      </c>
      <c r="L85" s="38">
        <v>20.5</v>
      </c>
      <c r="M85" s="38"/>
      <c r="N85" s="38"/>
      <c r="O85" s="46" t="s">
        <v>507</v>
      </c>
      <c r="P85" s="38"/>
      <c r="Q85" s="38"/>
      <c r="R85" s="38"/>
      <c r="S85" s="38"/>
      <c r="T85" s="38">
        <v>5</v>
      </c>
      <c r="U85" s="70"/>
      <c r="V85" s="47"/>
      <c r="Y85" s="44"/>
      <c r="AA85" s="73"/>
      <c r="AB85" s="82"/>
      <c r="AC85" s="83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5"/>
      <c r="AP85" s="84"/>
      <c r="AQ85" s="84"/>
      <c r="AR85" s="84"/>
      <c r="AS85" s="84"/>
      <c r="AT85" s="84"/>
      <c r="AU85" s="84"/>
      <c r="AV85" s="86"/>
      <c r="AW85" s="44"/>
      <c r="AX85" s="44"/>
      <c r="AY85" s="44"/>
      <c r="AZ85" s="44"/>
      <c r="BA85" s="44"/>
    </row>
    <row r="86" spans="1:53" ht="16.5" x14ac:dyDescent="0.25">
      <c r="A86" s="45">
        <v>85</v>
      </c>
      <c r="B86" s="38" t="s">
        <v>361</v>
      </c>
      <c r="C86" s="51">
        <v>42675</v>
      </c>
      <c r="D86" s="38" t="s">
        <v>362</v>
      </c>
      <c r="E86" s="38" t="s">
        <v>363</v>
      </c>
      <c r="F86" s="38" t="s">
        <v>508</v>
      </c>
      <c r="G86" s="38" t="s">
        <v>509</v>
      </c>
      <c r="H86" s="38" t="s">
        <v>510</v>
      </c>
      <c r="I86" s="38" t="s">
        <v>511</v>
      </c>
      <c r="J86" s="38">
        <v>5</v>
      </c>
      <c r="K86" s="38" t="s">
        <v>222</v>
      </c>
      <c r="L86" s="38">
        <v>43.6</v>
      </c>
      <c r="M86" s="38"/>
      <c r="N86" s="38"/>
      <c r="O86" s="46" t="s">
        <v>512</v>
      </c>
      <c r="P86" s="38"/>
      <c r="Q86" s="38"/>
      <c r="R86" s="38"/>
      <c r="S86" s="38"/>
      <c r="T86" s="38"/>
      <c r="U86" s="70"/>
      <c r="V86" s="47"/>
      <c r="Y86" s="44"/>
      <c r="AA86" s="73"/>
      <c r="AB86" s="82"/>
      <c r="AC86" s="83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5"/>
      <c r="AP86" s="84"/>
      <c r="AQ86" s="84"/>
      <c r="AR86" s="84"/>
      <c r="AS86" s="84"/>
      <c r="AT86" s="84"/>
      <c r="AU86" s="84"/>
      <c r="AV86" s="86"/>
      <c r="AW86" s="44"/>
      <c r="AX86" s="44"/>
      <c r="AY86" s="44"/>
      <c r="AZ86" s="44"/>
      <c r="BA86" s="44"/>
    </row>
    <row r="87" spans="1:53" ht="16.5" x14ac:dyDescent="0.25">
      <c r="A87" s="45">
        <v>86</v>
      </c>
      <c r="B87" s="38" t="s">
        <v>361</v>
      </c>
      <c r="C87" s="51">
        <v>42676</v>
      </c>
      <c r="D87" s="38" t="s">
        <v>362</v>
      </c>
      <c r="E87" s="38" t="s">
        <v>363</v>
      </c>
      <c r="F87" s="38" t="s">
        <v>508</v>
      </c>
      <c r="G87" s="38" t="s">
        <v>509</v>
      </c>
      <c r="H87" s="38" t="s">
        <v>510</v>
      </c>
      <c r="I87" s="38" t="s">
        <v>511</v>
      </c>
      <c r="J87" s="38">
        <v>5</v>
      </c>
      <c r="K87" s="38" t="s">
        <v>256</v>
      </c>
      <c r="L87" s="38">
        <v>44.3</v>
      </c>
      <c r="M87" s="38"/>
      <c r="N87" s="38"/>
      <c r="O87" s="46" t="s">
        <v>512</v>
      </c>
      <c r="P87" s="38"/>
      <c r="Q87" s="38"/>
      <c r="R87" s="38"/>
      <c r="S87" s="38"/>
      <c r="T87" s="38"/>
      <c r="U87" s="70"/>
      <c r="V87" s="47"/>
      <c r="Y87" s="44"/>
      <c r="AA87" s="73"/>
      <c r="AB87" s="82"/>
      <c r="AC87" s="83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5"/>
      <c r="AP87" s="84"/>
      <c r="AQ87" s="84"/>
      <c r="AR87" s="84"/>
      <c r="AS87" s="84"/>
      <c r="AT87" s="84"/>
      <c r="AU87" s="84"/>
      <c r="AV87" s="86"/>
      <c r="AW87" s="44"/>
      <c r="AX87" s="44"/>
      <c r="AY87" s="44"/>
      <c r="AZ87" s="44"/>
      <c r="BA87" s="44"/>
    </row>
    <row r="88" spans="1:53" ht="16.5" x14ac:dyDescent="0.25">
      <c r="A88" s="45">
        <v>87</v>
      </c>
      <c r="B88" s="38" t="s">
        <v>361</v>
      </c>
      <c r="C88" s="51">
        <v>42705</v>
      </c>
      <c r="D88" s="38" t="s">
        <v>362</v>
      </c>
      <c r="E88" s="38" t="s">
        <v>363</v>
      </c>
      <c r="F88" s="38" t="s">
        <v>508</v>
      </c>
      <c r="G88" s="38" t="s">
        <v>509</v>
      </c>
      <c r="H88" s="38" t="s">
        <v>509</v>
      </c>
      <c r="I88" s="38" t="s">
        <v>513</v>
      </c>
      <c r="J88" s="38">
        <v>3</v>
      </c>
      <c r="K88" s="38" t="s">
        <v>222</v>
      </c>
      <c r="L88" s="38">
        <v>48</v>
      </c>
      <c r="M88" s="38">
        <v>30</v>
      </c>
      <c r="N88" s="38"/>
      <c r="O88" s="46" t="s">
        <v>514</v>
      </c>
      <c r="P88" s="38">
        <v>60</v>
      </c>
      <c r="Q88" s="38"/>
      <c r="R88" s="38">
        <v>41</v>
      </c>
      <c r="S88" s="38" t="s">
        <v>515</v>
      </c>
      <c r="T88" s="38">
        <v>20</v>
      </c>
      <c r="U88" s="38" t="str">
        <f t="shared" ref="U88:U100" si="9">IF(R88&gt;=T88,"Positive","Negative")</f>
        <v>Positive</v>
      </c>
      <c r="V88" s="47"/>
      <c r="Y88" s="44"/>
      <c r="AA88" s="73"/>
      <c r="AB88" s="82"/>
      <c r="AC88" s="83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5"/>
      <c r="AP88" s="84"/>
      <c r="AQ88" s="84"/>
      <c r="AR88" s="84"/>
      <c r="AS88" s="84"/>
      <c r="AT88" s="84"/>
      <c r="AU88" s="84"/>
      <c r="AV88" s="86"/>
      <c r="AW88" s="44"/>
      <c r="AX88" s="44"/>
      <c r="AY88" s="44"/>
      <c r="AZ88" s="44"/>
      <c r="BA88" s="44"/>
    </row>
    <row r="89" spans="1:53" ht="16.5" x14ac:dyDescent="0.25">
      <c r="A89" s="45">
        <v>88</v>
      </c>
      <c r="B89" s="38" t="s">
        <v>361</v>
      </c>
      <c r="C89" s="51">
        <v>42703</v>
      </c>
      <c r="D89" s="38" t="s">
        <v>362</v>
      </c>
      <c r="E89" s="38" t="s">
        <v>363</v>
      </c>
      <c r="F89" s="38" t="s">
        <v>508</v>
      </c>
      <c r="G89" s="38" t="s">
        <v>516</v>
      </c>
      <c r="H89" s="38" t="s">
        <v>517</v>
      </c>
      <c r="I89" s="38" t="s">
        <v>518</v>
      </c>
      <c r="J89" s="38">
        <v>4</v>
      </c>
      <c r="K89" s="38" t="s">
        <v>222</v>
      </c>
      <c r="L89" s="38">
        <v>45</v>
      </c>
      <c r="M89" s="38">
        <v>30</v>
      </c>
      <c r="N89" s="38"/>
      <c r="O89" s="46" t="s">
        <v>273</v>
      </c>
      <c r="P89" s="38">
        <v>65</v>
      </c>
      <c r="Q89" s="38"/>
      <c r="R89" s="38">
        <v>33</v>
      </c>
      <c r="S89" s="38"/>
      <c r="T89" s="38">
        <v>20</v>
      </c>
      <c r="U89" s="38" t="str">
        <f t="shared" si="9"/>
        <v>Positive</v>
      </c>
      <c r="V89" s="47"/>
      <c r="Y89" s="44"/>
      <c r="AA89" s="73"/>
      <c r="AB89" s="82"/>
      <c r="AC89" s="83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5"/>
      <c r="AP89" s="84"/>
      <c r="AQ89" s="84"/>
      <c r="AR89" s="84"/>
      <c r="AS89" s="84"/>
      <c r="AT89" s="84"/>
      <c r="AU89" s="84"/>
      <c r="AV89" s="86"/>
      <c r="AW89" s="44"/>
      <c r="AX89" s="44"/>
      <c r="AY89" s="44"/>
      <c r="AZ89" s="44"/>
      <c r="BA89" s="44"/>
    </row>
    <row r="90" spans="1:53" ht="16.5" x14ac:dyDescent="0.25">
      <c r="A90" s="45">
        <v>89</v>
      </c>
      <c r="B90" s="38" t="s">
        <v>519</v>
      </c>
      <c r="C90" s="51">
        <v>42763</v>
      </c>
      <c r="D90" s="38" t="s">
        <v>388</v>
      </c>
      <c r="E90" s="38" t="s">
        <v>243</v>
      </c>
      <c r="F90" s="38" t="s">
        <v>520</v>
      </c>
      <c r="G90" s="38" t="s">
        <v>521</v>
      </c>
      <c r="H90" s="38" t="s">
        <v>522</v>
      </c>
      <c r="I90" s="38" t="s">
        <v>523</v>
      </c>
      <c r="J90" s="38">
        <v>4</v>
      </c>
      <c r="K90" s="38" t="s">
        <v>222</v>
      </c>
      <c r="L90" s="38">
        <v>30</v>
      </c>
      <c r="M90" s="38">
        <v>21</v>
      </c>
      <c r="N90" s="38"/>
      <c r="O90" s="46" t="s">
        <v>524</v>
      </c>
      <c r="P90" s="38">
        <v>79</v>
      </c>
      <c r="Q90" s="38"/>
      <c r="R90" s="38">
        <v>10</v>
      </c>
      <c r="S90" s="38"/>
      <c r="T90" s="38">
        <v>10</v>
      </c>
      <c r="U90" s="38" t="str">
        <f t="shared" si="9"/>
        <v>Positive</v>
      </c>
      <c r="V90" s="47"/>
      <c r="Y90" s="44"/>
      <c r="AA90" s="73"/>
      <c r="AB90" s="82"/>
      <c r="AC90" s="83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5"/>
      <c r="AP90" s="84"/>
      <c r="AQ90" s="84"/>
      <c r="AR90" s="84"/>
      <c r="AS90" s="84"/>
      <c r="AT90" s="84"/>
      <c r="AU90" s="84"/>
      <c r="AV90" s="86"/>
      <c r="AW90" s="44"/>
      <c r="AX90" s="44"/>
      <c r="AY90" s="44"/>
      <c r="AZ90" s="44"/>
      <c r="BA90" s="44"/>
    </row>
    <row r="91" spans="1:53" ht="16.5" x14ac:dyDescent="0.25">
      <c r="A91" s="45">
        <v>90</v>
      </c>
      <c r="B91" s="38"/>
      <c r="C91" s="51"/>
      <c r="D91" s="38" t="s">
        <v>451</v>
      </c>
      <c r="E91" s="38" t="s">
        <v>306</v>
      </c>
      <c r="F91" s="38" t="s">
        <v>346</v>
      </c>
      <c r="G91" s="38" t="s">
        <v>347</v>
      </c>
      <c r="H91" s="38" t="s">
        <v>525</v>
      </c>
      <c r="I91" s="38" t="s">
        <v>526</v>
      </c>
      <c r="J91" s="38">
        <v>3</v>
      </c>
      <c r="K91" s="106" t="s">
        <v>256</v>
      </c>
      <c r="L91" s="38">
        <v>55</v>
      </c>
      <c r="M91" s="38">
        <v>6</v>
      </c>
      <c r="N91" s="106"/>
      <c r="O91" s="110"/>
      <c r="P91" s="38">
        <v>53</v>
      </c>
      <c r="Q91" s="38">
        <v>47</v>
      </c>
      <c r="R91" s="38">
        <v>2</v>
      </c>
      <c r="S91" s="67" t="s">
        <v>527</v>
      </c>
      <c r="T91" s="38">
        <v>1</v>
      </c>
      <c r="U91" s="38" t="str">
        <f t="shared" si="9"/>
        <v>Positive</v>
      </c>
      <c r="V91" s="47"/>
      <c r="Y91" s="44"/>
      <c r="AA91" s="73"/>
      <c r="AB91" s="82"/>
      <c r="AC91" s="83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5"/>
      <c r="AP91" s="84"/>
      <c r="AQ91" s="84"/>
      <c r="AR91" s="84"/>
      <c r="AS91" s="84"/>
      <c r="AT91" s="84"/>
      <c r="AU91" s="84"/>
      <c r="AV91" s="86"/>
      <c r="AW91" s="44"/>
      <c r="AX91" s="44"/>
      <c r="AY91" s="44"/>
      <c r="AZ91" s="44"/>
      <c r="BA91" s="44"/>
    </row>
    <row r="92" spans="1:53" ht="16.5" x14ac:dyDescent="0.25">
      <c r="A92" s="45">
        <v>91</v>
      </c>
      <c r="B92" s="38" t="s">
        <v>528</v>
      </c>
      <c r="C92" s="51" t="s">
        <v>529</v>
      </c>
      <c r="D92" s="38" t="s">
        <v>319</v>
      </c>
      <c r="E92" s="38" t="s">
        <v>217</v>
      </c>
      <c r="F92" s="38" t="s">
        <v>218</v>
      </c>
      <c r="G92" s="38" t="s">
        <v>231</v>
      </c>
      <c r="H92" s="38" t="s">
        <v>530</v>
      </c>
      <c r="I92" s="38" t="s">
        <v>531</v>
      </c>
      <c r="J92" s="38">
        <v>5</v>
      </c>
      <c r="K92" s="106" t="s">
        <v>222</v>
      </c>
      <c r="L92" s="38"/>
      <c r="M92" s="38">
        <v>5</v>
      </c>
      <c r="N92" s="106"/>
      <c r="O92" s="110"/>
      <c r="P92" s="38">
        <v>100</v>
      </c>
      <c r="Q92" s="38"/>
      <c r="R92" s="38"/>
      <c r="S92" s="38"/>
      <c r="T92" s="38"/>
      <c r="U92" s="38" t="str">
        <f t="shared" si="9"/>
        <v>Positive</v>
      </c>
      <c r="V92" s="47"/>
      <c r="Y92" s="44"/>
      <c r="AA92" s="73"/>
      <c r="AB92" s="82"/>
      <c r="AC92" s="83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5"/>
      <c r="AP92" s="84"/>
      <c r="AQ92" s="84"/>
      <c r="AR92" s="84"/>
      <c r="AS92" s="84"/>
      <c r="AT92" s="84"/>
      <c r="AU92" s="84"/>
      <c r="AV92" s="86"/>
      <c r="AW92" s="44"/>
      <c r="AX92" s="44"/>
      <c r="AY92" s="44"/>
      <c r="AZ92" s="44"/>
      <c r="BA92" s="44"/>
    </row>
    <row r="93" spans="1:53" ht="16.5" x14ac:dyDescent="0.25">
      <c r="A93" s="45">
        <v>92</v>
      </c>
      <c r="B93" s="38" t="s">
        <v>532</v>
      </c>
      <c r="C93" s="89">
        <v>42838</v>
      </c>
      <c r="D93" s="38" t="s">
        <v>362</v>
      </c>
      <c r="E93" s="38" t="s">
        <v>533</v>
      </c>
      <c r="F93" s="38" t="s">
        <v>534</v>
      </c>
      <c r="G93" s="38" t="s">
        <v>533</v>
      </c>
      <c r="H93" s="38" t="s">
        <v>535</v>
      </c>
      <c r="I93" s="38" t="s">
        <v>536</v>
      </c>
      <c r="J93" s="38">
        <v>3</v>
      </c>
      <c r="K93" s="106" t="s">
        <v>222</v>
      </c>
      <c r="L93" s="38"/>
      <c r="M93" s="38"/>
      <c r="N93" s="106"/>
      <c r="O93" s="110"/>
      <c r="P93" s="38"/>
      <c r="Q93" s="38"/>
      <c r="R93" s="38"/>
      <c r="S93" s="38"/>
      <c r="T93" s="38"/>
      <c r="U93" s="38"/>
      <c r="V93" s="47"/>
      <c r="Y93" s="44"/>
      <c r="AA93" s="73"/>
      <c r="AB93" s="82"/>
      <c r="AC93" s="83"/>
      <c r="AD93" s="84"/>
      <c r="AE93" s="84"/>
      <c r="AF93" s="84"/>
      <c r="AG93" s="84"/>
      <c r="AH93" s="84"/>
      <c r="AI93" s="90"/>
      <c r="AJ93" s="84"/>
      <c r="AK93" s="84"/>
      <c r="AL93" s="84"/>
      <c r="AM93" s="84"/>
      <c r="AN93" s="84"/>
      <c r="AO93" s="85"/>
      <c r="AP93" s="84"/>
      <c r="AQ93" s="84"/>
      <c r="AR93" s="84"/>
      <c r="AS93" s="84"/>
      <c r="AT93" s="84"/>
      <c r="AU93" s="84"/>
      <c r="AV93" s="86"/>
      <c r="AW93" s="44"/>
      <c r="AX93" s="44"/>
      <c r="AY93" s="44"/>
      <c r="AZ93" s="44"/>
      <c r="BA93" s="44"/>
    </row>
    <row r="94" spans="1:53" ht="16.5" x14ac:dyDescent="0.25">
      <c r="A94" s="45">
        <v>93</v>
      </c>
      <c r="B94" s="38" t="s">
        <v>537</v>
      </c>
      <c r="C94" s="51">
        <v>42607</v>
      </c>
      <c r="D94" s="38" t="s">
        <v>216</v>
      </c>
      <c r="E94" s="38" t="s">
        <v>217</v>
      </c>
      <c r="F94" s="38" t="s">
        <v>218</v>
      </c>
      <c r="G94" s="38" t="s">
        <v>231</v>
      </c>
      <c r="H94" s="38" t="s">
        <v>234</v>
      </c>
      <c r="I94" s="38" t="s">
        <v>538</v>
      </c>
      <c r="J94" s="38">
        <v>3</v>
      </c>
      <c r="K94" s="106" t="s">
        <v>222</v>
      </c>
      <c r="L94" s="38">
        <v>55</v>
      </c>
      <c r="M94" s="38">
        <v>35</v>
      </c>
      <c r="N94" s="106"/>
      <c r="O94" s="110"/>
      <c r="P94" s="38">
        <v>71</v>
      </c>
      <c r="Q94" s="38">
        <v>36</v>
      </c>
      <c r="R94" s="38">
        <v>1.8</v>
      </c>
      <c r="S94" s="38"/>
      <c r="T94" s="38">
        <v>1</v>
      </c>
      <c r="U94" s="38" t="str">
        <f t="shared" si="9"/>
        <v>Positive</v>
      </c>
      <c r="V94" s="47"/>
      <c r="Y94" s="44"/>
      <c r="AA94" s="73"/>
      <c r="AB94" s="82"/>
      <c r="AC94" s="83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5"/>
      <c r="AP94" s="84"/>
      <c r="AQ94" s="84"/>
      <c r="AR94" s="84"/>
      <c r="AS94" s="84"/>
      <c r="AT94" s="84"/>
      <c r="AU94" s="84"/>
      <c r="AV94" s="86"/>
      <c r="AW94" s="44"/>
      <c r="AX94" s="44"/>
      <c r="AY94" s="44"/>
      <c r="AZ94" s="44"/>
      <c r="BA94" s="44"/>
    </row>
    <row r="95" spans="1:53" ht="16.5" x14ac:dyDescent="0.25">
      <c r="A95" s="45">
        <v>94</v>
      </c>
      <c r="B95" s="38" t="s">
        <v>539</v>
      </c>
      <c r="C95" s="55" t="s">
        <v>540</v>
      </c>
      <c r="D95" s="52" t="s">
        <v>264</v>
      </c>
      <c r="E95" s="52" t="s">
        <v>541</v>
      </c>
      <c r="F95" s="52" t="s">
        <v>542</v>
      </c>
      <c r="G95" s="52" t="s">
        <v>543</v>
      </c>
      <c r="H95" s="52" t="s">
        <v>544</v>
      </c>
      <c r="I95" s="52" t="s">
        <v>545</v>
      </c>
      <c r="J95" s="52">
        <v>4</v>
      </c>
      <c r="K95" s="107" t="s">
        <v>222</v>
      </c>
      <c r="L95" s="52">
        <v>34</v>
      </c>
      <c r="M95" s="52"/>
      <c r="N95" s="106"/>
      <c r="O95" s="110"/>
      <c r="P95" s="52">
        <v>104</v>
      </c>
      <c r="Q95" s="52"/>
      <c r="R95" s="52">
        <v>0.4</v>
      </c>
      <c r="S95" s="52"/>
      <c r="T95" s="52">
        <v>5</v>
      </c>
      <c r="U95" s="38" t="str">
        <f t="shared" si="9"/>
        <v>Negative</v>
      </c>
      <c r="V95" s="58"/>
      <c r="Y95" s="44"/>
      <c r="AA95" s="91"/>
      <c r="AB95" s="92"/>
      <c r="AC95" s="93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94"/>
      <c r="AP95" s="88"/>
      <c r="AQ95" s="88"/>
      <c r="AR95" s="88"/>
      <c r="AS95" s="88"/>
      <c r="AT95" s="88"/>
      <c r="AU95" s="88"/>
      <c r="AV95" s="95"/>
      <c r="AW95" s="44"/>
      <c r="AX95" s="44"/>
      <c r="AY95" s="44"/>
      <c r="AZ95" s="44"/>
      <c r="BA95" s="44"/>
    </row>
    <row r="96" spans="1:53" ht="16.5" x14ac:dyDescent="0.25">
      <c r="A96" s="45">
        <v>95</v>
      </c>
      <c r="B96" s="38" t="s">
        <v>539</v>
      </c>
      <c r="C96" s="51" t="s">
        <v>546</v>
      </c>
      <c r="D96" s="38" t="s">
        <v>264</v>
      </c>
      <c r="E96" s="68" t="s">
        <v>389</v>
      </c>
      <c r="F96" s="38" t="s">
        <v>542</v>
      </c>
      <c r="G96" s="68" t="s">
        <v>543</v>
      </c>
      <c r="H96" s="38" t="s">
        <v>547</v>
      </c>
      <c r="I96" s="38" t="s">
        <v>548</v>
      </c>
      <c r="J96" s="38">
        <v>3</v>
      </c>
      <c r="K96" s="108" t="s">
        <v>256</v>
      </c>
      <c r="L96" s="38">
        <v>36</v>
      </c>
      <c r="M96" s="38">
        <v>65</v>
      </c>
      <c r="N96" s="106"/>
      <c r="O96" s="110"/>
      <c r="P96" s="38">
        <v>91</v>
      </c>
      <c r="Q96" s="38">
        <v>26</v>
      </c>
      <c r="R96" s="38">
        <v>5.4</v>
      </c>
      <c r="S96" s="38" t="s">
        <v>549</v>
      </c>
      <c r="T96" s="38">
        <v>5</v>
      </c>
      <c r="U96" s="38" t="str">
        <f t="shared" si="9"/>
        <v>Positive</v>
      </c>
      <c r="V96" s="47"/>
      <c r="AA96" s="73"/>
      <c r="AB96" s="82"/>
      <c r="AC96" s="83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5"/>
      <c r="AP96" s="84"/>
      <c r="AQ96" s="84"/>
      <c r="AR96" s="84"/>
      <c r="AS96" s="84"/>
      <c r="AT96" s="84"/>
      <c r="AU96" s="84"/>
      <c r="AV96" s="86"/>
    </row>
    <row r="97" spans="1:48" ht="16.5" x14ac:dyDescent="0.25">
      <c r="A97" s="45">
        <v>96</v>
      </c>
      <c r="B97" s="38" t="s">
        <v>550</v>
      </c>
      <c r="C97" s="51" t="s">
        <v>551</v>
      </c>
      <c r="D97" s="38" t="s">
        <v>298</v>
      </c>
      <c r="E97" s="68" t="s">
        <v>299</v>
      </c>
      <c r="F97" s="38" t="s">
        <v>398</v>
      </c>
      <c r="G97" s="68" t="s">
        <v>399</v>
      </c>
      <c r="H97" s="38" t="s">
        <v>552</v>
      </c>
      <c r="I97" s="38" t="s">
        <v>553</v>
      </c>
      <c r="J97" s="38">
        <v>3</v>
      </c>
      <c r="K97" s="108" t="s">
        <v>222</v>
      </c>
      <c r="L97" s="38">
        <v>70</v>
      </c>
      <c r="M97" s="38">
        <v>40</v>
      </c>
      <c r="N97" s="106"/>
      <c r="O97" s="110"/>
      <c r="P97" s="38">
        <v>70</v>
      </c>
      <c r="Q97" s="38">
        <v>40</v>
      </c>
      <c r="R97" s="38">
        <v>1.5</v>
      </c>
      <c r="S97" s="38"/>
      <c r="T97" s="38">
        <v>1</v>
      </c>
      <c r="U97" s="38" t="str">
        <f t="shared" si="9"/>
        <v>Positive</v>
      </c>
      <c r="V97" s="47"/>
      <c r="AA97" s="73"/>
      <c r="AB97" s="38"/>
      <c r="AC97" s="51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5"/>
      <c r="AO97" s="76"/>
      <c r="AP97" s="74"/>
      <c r="AQ97" s="74"/>
      <c r="AR97" s="78"/>
      <c r="AS97" s="74"/>
      <c r="AT97" s="74"/>
      <c r="AU97" s="74"/>
      <c r="AV97" s="77"/>
    </row>
    <row r="98" spans="1:48" ht="16.5" x14ac:dyDescent="0.25">
      <c r="A98" s="45">
        <v>97</v>
      </c>
      <c r="B98" s="38" t="s">
        <v>528</v>
      </c>
      <c r="C98" s="51" t="s">
        <v>554</v>
      </c>
      <c r="D98" s="38" t="s">
        <v>216</v>
      </c>
      <c r="E98" s="68" t="s">
        <v>292</v>
      </c>
      <c r="F98" s="38" t="s">
        <v>293</v>
      </c>
      <c r="G98" s="68" t="s">
        <v>555</v>
      </c>
      <c r="H98" s="38" t="s">
        <v>556</v>
      </c>
      <c r="I98" s="38" t="s">
        <v>557</v>
      </c>
      <c r="J98" s="38">
        <v>3</v>
      </c>
      <c r="K98" s="108" t="s">
        <v>222</v>
      </c>
      <c r="L98" s="38">
        <v>45</v>
      </c>
      <c r="M98" s="38"/>
      <c r="N98" s="106"/>
      <c r="O98" s="110"/>
      <c r="P98" s="38">
        <v>125</v>
      </c>
      <c r="Q98" s="38">
        <v>85</v>
      </c>
      <c r="R98" s="38">
        <v>9</v>
      </c>
      <c r="S98" s="38" t="s">
        <v>274</v>
      </c>
      <c r="T98" s="38">
        <v>1</v>
      </c>
      <c r="U98" s="38" t="str">
        <f t="shared" si="9"/>
        <v>Positive</v>
      </c>
      <c r="V98" s="47"/>
      <c r="AA98" s="73"/>
      <c r="AB98" s="38"/>
      <c r="AC98" s="51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82"/>
      <c r="AO98" s="76"/>
      <c r="AP98" s="74"/>
      <c r="AQ98" s="74"/>
      <c r="AR98" s="78"/>
      <c r="AS98" s="74"/>
      <c r="AT98" s="74"/>
      <c r="AU98" s="74"/>
      <c r="AV98" s="77"/>
    </row>
    <row r="99" spans="1:48" ht="16.5" x14ac:dyDescent="0.25">
      <c r="A99" s="45">
        <v>98</v>
      </c>
      <c r="B99" s="52" t="s">
        <v>528</v>
      </c>
      <c r="C99" s="55" t="s">
        <v>529</v>
      </c>
      <c r="D99" s="52" t="s">
        <v>216</v>
      </c>
      <c r="E99" s="56" t="s">
        <v>217</v>
      </c>
      <c r="F99" s="52" t="s">
        <v>218</v>
      </c>
      <c r="G99" s="56" t="s">
        <v>231</v>
      </c>
      <c r="H99" s="52" t="s">
        <v>530</v>
      </c>
      <c r="I99" s="52" t="s">
        <v>558</v>
      </c>
      <c r="J99" s="52">
        <v>4</v>
      </c>
      <c r="K99" s="109" t="s">
        <v>256</v>
      </c>
      <c r="L99" s="52">
        <v>10</v>
      </c>
      <c r="M99" s="52"/>
      <c r="N99" s="106"/>
      <c r="O99" s="110"/>
      <c r="P99" s="52">
        <v>97</v>
      </c>
      <c r="Q99" s="52">
        <v>87</v>
      </c>
      <c r="R99" s="52">
        <v>0</v>
      </c>
      <c r="S99" s="52" t="s">
        <v>274</v>
      </c>
      <c r="T99" s="52">
        <v>10</v>
      </c>
      <c r="U99" s="38" t="str">
        <f t="shared" si="9"/>
        <v>Negative</v>
      </c>
      <c r="V99" s="58"/>
      <c r="AA99" s="91"/>
      <c r="AB99" s="96"/>
      <c r="AC99" s="97"/>
      <c r="AD99" s="96"/>
      <c r="AE99" s="96"/>
      <c r="AF99" s="96"/>
      <c r="AG99" s="96"/>
      <c r="AH99" s="96"/>
      <c r="AI99" s="96"/>
      <c r="AJ99" s="96"/>
      <c r="AK99" s="96"/>
      <c r="AL99" s="96"/>
      <c r="AM99" s="96"/>
      <c r="AN99" s="96"/>
      <c r="AO99" s="96"/>
      <c r="AP99" s="96"/>
      <c r="AQ99" s="96"/>
      <c r="AR99" s="96"/>
      <c r="AS99" s="98"/>
      <c r="AT99" s="96"/>
      <c r="AU99" s="96"/>
      <c r="AV99" s="99"/>
    </row>
    <row r="100" spans="1:48" ht="16.5" x14ac:dyDescent="0.25">
      <c r="A100" s="45">
        <v>99</v>
      </c>
      <c r="B100" s="71" t="s">
        <v>584</v>
      </c>
      <c r="C100" s="72" t="s">
        <v>585</v>
      </c>
      <c r="D100" s="52" t="s">
        <v>216</v>
      </c>
      <c r="E100" s="56" t="s">
        <v>292</v>
      </c>
      <c r="F100" s="52" t="s">
        <v>293</v>
      </c>
      <c r="G100" s="56" t="s">
        <v>555</v>
      </c>
      <c r="H100" s="52" t="s">
        <v>586</v>
      </c>
      <c r="I100" s="52" t="s">
        <v>587</v>
      </c>
      <c r="J100" s="52">
        <v>3</v>
      </c>
      <c r="K100" s="109" t="s">
        <v>222</v>
      </c>
      <c r="L100" s="52"/>
      <c r="M100" s="52">
        <v>36</v>
      </c>
      <c r="N100" s="106"/>
      <c r="O100" s="110"/>
      <c r="P100" s="52">
        <v>70</v>
      </c>
      <c r="Q100" s="52">
        <v>46</v>
      </c>
      <c r="R100" s="52">
        <v>10</v>
      </c>
      <c r="S100" s="52"/>
      <c r="T100" s="52">
        <v>5</v>
      </c>
      <c r="U100" s="38" t="str">
        <f t="shared" si="9"/>
        <v>Positive</v>
      </c>
      <c r="V100" s="58"/>
      <c r="AH100" s="100"/>
      <c r="AK100" s="102"/>
    </row>
    <row r="101" spans="1:48" x14ac:dyDescent="0.25">
      <c r="AH101" s="100"/>
      <c r="AK101" s="102"/>
    </row>
    <row r="102" spans="1:48" x14ac:dyDescent="0.25">
      <c r="AH102" s="100"/>
      <c r="AK102" s="102"/>
    </row>
    <row r="103" spans="1:48" x14ac:dyDescent="0.25">
      <c r="AH103" s="100"/>
      <c r="AK103" s="102"/>
    </row>
    <row r="104" spans="1:48" x14ac:dyDescent="0.25">
      <c r="AH104" s="100"/>
      <c r="AK104" s="102"/>
    </row>
    <row r="105" spans="1:48" x14ac:dyDescent="0.25">
      <c r="AH105" s="100"/>
      <c r="AK105" s="102"/>
    </row>
    <row r="106" spans="1:48" x14ac:dyDescent="0.25">
      <c r="AH106" s="100"/>
      <c r="AK106" s="102"/>
    </row>
    <row r="107" spans="1:48" x14ac:dyDescent="0.25">
      <c r="AH107" s="100"/>
      <c r="AK107" s="102"/>
    </row>
    <row r="108" spans="1:48" x14ac:dyDescent="0.25">
      <c r="AH108" s="100"/>
      <c r="AK108" s="102"/>
    </row>
    <row r="109" spans="1:48" x14ac:dyDescent="0.25">
      <c r="AH109" s="100"/>
      <c r="AK109" s="102"/>
    </row>
    <row r="110" spans="1:48" x14ac:dyDescent="0.25">
      <c r="AH110" s="100"/>
      <c r="AK110" s="102"/>
    </row>
    <row r="111" spans="1:48" x14ac:dyDescent="0.25">
      <c r="AH111" s="100"/>
      <c r="AK111" s="102"/>
    </row>
    <row r="112" spans="1:48" x14ac:dyDescent="0.25">
      <c r="AH112" s="100"/>
      <c r="AK112" s="102"/>
    </row>
    <row r="113" spans="34:37" x14ac:dyDescent="0.25">
      <c r="AH113" s="100"/>
      <c r="AK113" s="102"/>
    </row>
    <row r="114" spans="34:37" x14ac:dyDescent="0.25">
      <c r="AH114" s="100"/>
      <c r="AK114" s="102"/>
    </row>
    <row r="115" spans="34:37" x14ac:dyDescent="0.25">
      <c r="AH115" s="100"/>
      <c r="AK115" s="102"/>
    </row>
    <row r="116" spans="34:37" x14ac:dyDescent="0.25">
      <c r="AH116" s="100"/>
      <c r="AK116" s="102"/>
    </row>
    <row r="117" spans="34:37" x14ac:dyDescent="0.25">
      <c r="AH117" s="100"/>
      <c r="AK117" s="102"/>
    </row>
    <row r="118" spans="34:37" x14ac:dyDescent="0.25">
      <c r="AH118" s="100"/>
      <c r="AK118" s="102"/>
    </row>
    <row r="119" spans="34:37" x14ac:dyDescent="0.25">
      <c r="AH119" s="100"/>
      <c r="AK119" s="102"/>
    </row>
    <row r="120" spans="34:37" x14ac:dyDescent="0.25">
      <c r="AH120" s="100"/>
      <c r="AK120" s="102"/>
    </row>
    <row r="121" spans="34:37" x14ac:dyDescent="0.25">
      <c r="AH121" s="100"/>
      <c r="AK121" s="102"/>
    </row>
    <row r="122" spans="34:37" x14ac:dyDescent="0.25">
      <c r="AH122" s="100"/>
      <c r="AK122" s="102"/>
    </row>
    <row r="123" spans="34:37" x14ac:dyDescent="0.25">
      <c r="AH123" s="100"/>
      <c r="AK123" s="102"/>
    </row>
    <row r="124" spans="34:37" x14ac:dyDescent="0.25">
      <c r="AH124" s="100"/>
      <c r="AK124" s="102"/>
    </row>
    <row r="125" spans="34:37" x14ac:dyDescent="0.25">
      <c r="AH125" s="100"/>
      <c r="AK125" s="102"/>
    </row>
    <row r="126" spans="34:37" x14ac:dyDescent="0.25">
      <c r="AH126" s="100"/>
      <c r="AK126" s="102"/>
    </row>
    <row r="127" spans="34:37" x14ac:dyDescent="0.25">
      <c r="AH127" s="100"/>
      <c r="AK127" s="102"/>
    </row>
    <row r="128" spans="34:37" x14ac:dyDescent="0.25">
      <c r="AH128" s="100"/>
      <c r="AK128" s="102"/>
    </row>
    <row r="129" spans="34:37" x14ac:dyDescent="0.25">
      <c r="AH129" s="100"/>
      <c r="AK129" s="102"/>
    </row>
    <row r="130" spans="34:37" x14ac:dyDescent="0.25">
      <c r="AH130" s="100"/>
      <c r="AK130" s="102"/>
    </row>
    <row r="131" spans="34:37" x14ac:dyDescent="0.25">
      <c r="AH131" s="100"/>
      <c r="AK131" s="102"/>
    </row>
    <row r="132" spans="34:37" x14ac:dyDescent="0.25">
      <c r="AH132" s="100"/>
      <c r="AK132" s="102"/>
    </row>
    <row r="133" spans="34:37" x14ac:dyDescent="0.25">
      <c r="AH133" s="100"/>
      <c r="AK133" s="102"/>
    </row>
    <row r="134" spans="34:37" x14ac:dyDescent="0.25">
      <c r="AH134" s="100"/>
      <c r="AK134" s="102"/>
    </row>
    <row r="135" spans="34:37" x14ac:dyDescent="0.25">
      <c r="AH135" s="100"/>
      <c r="AK135" s="102"/>
    </row>
    <row r="136" spans="34:37" x14ac:dyDescent="0.25">
      <c r="AH136" s="100"/>
      <c r="AK136" s="102"/>
    </row>
    <row r="137" spans="34:37" x14ac:dyDescent="0.25">
      <c r="AH137" s="100"/>
      <c r="AK137" s="102"/>
    </row>
    <row r="138" spans="34:37" x14ac:dyDescent="0.25">
      <c r="AH138" s="100"/>
      <c r="AK138" s="102"/>
    </row>
    <row r="139" spans="34:37" x14ac:dyDescent="0.25">
      <c r="AH139" s="100"/>
      <c r="AK139" s="102"/>
    </row>
    <row r="140" spans="34:37" x14ac:dyDescent="0.25">
      <c r="AH140" s="100"/>
      <c r="AK140" s="102"/>
    </row>
    <row r="141" spans="34:37" x14ac:dyDescent="0.25">
      <c r="AH141" s="100"/>
      <c r="AK141" s="102"/>
    </row>
    <row r="142" spans="34:37" x14ac:dyDescent="0.25">
      <c r="AH142" s="100"/>
      <c r="AK142" s="102"/>
    </row>
    <row r="143" spans="34:37" x14ac:dyDescent="0.25">
      <c r="AH143" s="100"/>
      <c r="AK143" s="102"/>
    </row>
    <row r="144" spans="34:37" x14ac:dyDescent="0.25">
      <c r="AH144" s="100"/>
      <c r="AK144" s="102"/>
    </row>
    <row r="145" spans="34:37" x14ac:dyDescent="0.25">
      <c r="AH145" s="100"/>
      <c r="AK145" s="102"/>
    </row>
    <row r="146" spans="34:37" x14ac:dyDescent="0.25">
      <c r="AH146" s="100"/>
      <c r="AK146" s="102"/>
    </row>
    <row r="147" spans="34:37" x14ac:dyDescent="0.25">
      <c r="AH147" s="100"/>
      <c r="AK147" s="102"/>
    </row>
    <row r="148" spans="34:37" x14ac:dyDescent="0.25">
      <c r="AH148" s="100"/>
      <c r="AK148" s="102"/>
    </row>
    <row r="149" spans="34:37" x14ac:dyDescent="0.25">
      <c r="AH149" s="100"/>
      <c r="AK149" s="102"/>
    </row>
    <row r="150" spans="34:37" x14ac:dyDescent="0.25">
      <c r="AH150" s="100"/>
      <c r="AK150" s="102"/>
    </row>
    <row r="151" spans="34:37" x14ac:dyDescent="0.25">
      <c r="AH151" s="100"/>
      <c r="AK151" s="102"/>
    </row>
    <row r="152" spans="34:37" x14ac:dyDescent="0.25">
      <c r="AH152" s="100"/>
      <c r="AK152" s="102"/>
    </row>
    <row r="153" spans="34:37" x14ac:dyDescent="0.25">
      <c r="AH153" s="100"/>
      <c r="AK153" s="102"/>
    </row>
    <row r="154" spans="34:37" x14ac:dyDescent="0.25">
      <c r="AH154" s="100"/>
      <c r="AK154" s="102"/>
    </row>
    <row r="155" spans="34:37" x14ac:dyDescent="0.25">
      <c r="AH155" s="100"/>
      <c r="AK155" s="102"/>
    </row>
    <row r="156" spans="34:37" x14ac:dyDescent="0.25">
      <c r="AH156" s="100"/>
      <c r="AK156" s="102"/>
    </row>
  </sheetData>
  <dataValidations count="1">
    <dataValidation type="whole" allowBlank="1" showInputMessage="1" showErrorMessage="1" sqref="P15" xr:uid="{7C562EB0-3CD0-4D20-8134-56E7DBB59ED8}">
      <formula1>0</formula1>
      <formula2>1E+34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4:N40"/>
  <sheetViews>
    <sheetView workbookViewId="0">
      <selection activeCell="C9" sqref="C9"/>
    </sheetView>
  </sheetViews>
  <sheetFormatPr defaultColWidth="11.42578125" defaultRowHeight="15" x14ac:dyDescent="0.25"/>
  <cols>
    <col min="1" max="1" width="6.28515625" customWidth="1"/>
    <col min="5" max="5" width="21.42578125" bestFit="1" customWidth="1"/>
    <col min="7" max="7" width="14.140625" customWidth="1"/>
    <col min="8" max="8" width="18.7109375" customWidth="1"/>
  </cols>
  <sheetData>
    <row r="4" spans="2:14" ht="25.5" x14ac:dyDescent="0.25">
      <c r="B4" s="9" t="s">
        <v>25</v>
      </c>
      <c r="C4" s="9" t="s">
        <v>26</v>
      </c>
      <c r="D4" s="9" t="s">
        <v>27</v>
      </c>
      <c r="E4" s="9" t="s">
        <v>28</v>
      </c>
      <c r="F4" s="9" t="s">
        <v>31</v>
      </c>
      <c r="G4" s="9" t="s">
        <v>29</v>
      </c>
      <c r="H4" s="9" t="s">
        <v>30</v>
      </c>
      <c r="I4" s="9" t="s">
        <v>32</v>
      </c>
      <c r="J4" s="10" t="s">
        <v>33</v>
      </c>
      <c r="K4" s="9" t="s">
        <v>34</v>
      </c>
      <c r="L4" s="11" t="s">
        <v>35</v>
      </c>
      <c r="M4" s="11" t="s">
        <v>36</v>
      </c>
      <c r="N4" s="9" t="s">
        <v>37</v>
      </c>
    </row>
    <row r="5" spans="2:14" x14ac:dyDescent="0.25">
      <c r="B5" s="1">
        <v>1</v>
      </c>
      <c r="C5" s="2" t="s">
        <v>38</v>
      </c>
      <c r="D5" s="2" t="s">
        <v>11</v>
      </c>
      <c r="E5" s="3" t="s">
        <v>39</v>
      </c>
      <c r="F5" s="8">
        <v>1601</v>
      </c>
      <c r="G5" s="3" t="s">
        <v>40</v>
      </c>
      <c r="H5" s="3" t="s">
        <v>41</v>
      </c>
      <c r="I5">
        <v>773</v>
      </c>
      <c r="J5" s="2" t="s">
        <v>42</v>
      </c>
      <c r="K5" s="7">
        <v>35934</v>
      </c>
      <c r="L5" s="4">
        <v>893</v>
      </c>
      <c r="M5" s="5">
        <v>90000</v>
      </c>
      <c r="N5" t="s">
        <v>43</v>
      </c>
    </row>
    <row r="6" spans="2:14" x14ac:dyDescent="0.25">
      <c r="B6" s="1">
        <v>2</v>
      </c>
      <c r="C6" s="2" t="s">
        <v>44</v>
      </c>
      <c r="D6" s="2" t="s">
        <v>9</v>
      </c>
      <c r="E6" s="3" t="s">
        <v>45</v>
      </c>
      <c r="F6" s="8">
        <v>71170</v>
      </c>
      <c r="G6" s="3" t="s">
        <v>46</v>
      </c>
      <c r="H6" s="3" t="s">
        <v>47</v>
      </c>
      <c r="I6">
        <v>816</v>
      </c>
      <c r="J6" s="2" t="s">
        <v>48</v>
      </c>
      <c r="K6" s="7">
        <v>34110</v>
      </c>
      <c r="L6" s="4">
        <v>1330</v>
      </c>
      <c r="M6" s="5">
        <v>59000</v>
      </c>
      <c r="N6" t="s">
        <v>49</v>
      </c>
    </row>
    <row r="7" spans="2:14" x14ac:dyDescent="0.25">
      <c r="B7" s="1">
        <v>3</v>
      </c>
      <c r="C7" s="2" t="s">
        <v>50</v>
      </c>
      <c r="D7" s="2" t="s">
        <v>51</v>
      </c>
      <c r="E7" s="3" t="s">
        <v>52</v>
      </c>
      <c r="F7" s="8">
        <v>21170</v>
      </c>
      <c r="G7" s="3" t="s">
        <v>53</v>
      </c>
      <c r="H7" s="3" t="s">
        <v>47</v>
      </c>
      <c r="I7">
        <v>914</v>
      </c>
      <c r="J7" s="2" t="s">
        <v>54</v>
      </c>
      <c r="K7" s="7">
        <v>35609</v>
      </c>
      <c r="L7" s="4">
        <v>302</v>
      </c>
      <c r="M7" s="5">
        <v>65000</v>
      </c>
      <c r="N7" t="s">
        <v>43</v>
      </c>
    </row>
    <row r="8" spans="2:14" x14ac:dyDescent="0.25">
      <c r="B8" s="1">
        <v>4</v>
      </c>
      <c r="C8" s="2" t="s">
        <v>55</v>
      </c>
      <c r="D8" s="2" t="s">
        <v>56</v>
      </c>
      <c r="E8" s="3" t="s">
        <v>57</v>
      </c>
      <c r="F8" s="8">
        <v>75016</v>
      </c>
      <c r="G8" s="3" t="s">
        <v>58</v>
      </c>
      <c r="H8" s="3" t="s">
        <v>59</v>
      </c>
      <c r="I8">
        <v>619</v>
      </c>
      <c r="J8" s="2" t="s">
        <v>48</v>
      </c>
      <c r="K8" s="7">
        <v>35951</v>
      </c>
      <c r="L8" s="4">
        <v>1200</v>
      </c>
      <c r="M8" s="5">
        <v>72000</v>
      </c>
      <c r="N8" t="s">
        <v>49</v>
      </c>
    </row>
    <row r="9" spans="2:14" x14ac:dyDescent="0.25">
      <c r="B9" s="1">
        <v>5</v>
      </c>
      <c r="C9" s="2" t="s">
        <v>60</v>
      </c>
      <c r="D9" s="2" t="s">
        <v>6</v>
      </c>
      <c r="E9" s="3" t="s">
        <v>61</v>
      </c>
      <c r="F9" s="8">
        <v>94170</v>
      </c>
      <c r="G9" s="3" t="s">
        <v>62</v>
      </c>
      <c r="H9" s="3" t="s">
        <v>59</v>
      </c>
      <c r="I9">
        <v>510</v>
      </c>
      <c r="J9" s="2" t="s">
        <v>48</v>
      </c>
      <c r="K9" s="7">
        <v>33046</v>
      </c>
      <c r="L9" s="4">
        <v>3200</v>
      </c>
      <c r="M9" s="5">
        <v>84000</v>
      </c>
      <c r="N9" t="s">
        <v>63</v>
      </c>
    </row>
    <row r="10" spans="2:14" x14ac:dyDescent="0.25">
      <c r="B10" s="1">
        <v>6</v>
      </c>
      <c r="C10" s="2" t="s">
        <v>64</v>
      </c>
      <c r="D10" s="2" t="s">
        <v>10</v>
      </c>
      <c r="E10" s="3" t="s">
        <v>65</v>
      </c>
      <c r="F10" s="8">
        <v>69800</v>
      </c>
      <c r="G10" s="3" t="s">
        <v>66</v>
      </c>
      <c r="H10" s="3" t="s">
        <v>67</v>
      </c>
      <c r="I10">
        <v>312</v>
      </c>
      <c r="J10" s="2" t="s">
        <v>48</v>
      </c>
      <c r="K10" s="7">
        <v>35549</v>
      </c>
      <c r="L10" s="4">
        <v>640</v>
      </c>
      <c r="M10" s="5">
        <v>42000</v>
      </c>
      <c r="N10" t="s">
        <v>49</v>
      </c>
    </row>
    <row r="11" spans="2:14" x14ac:dyDescent="0.25">
      <c r="B11" s="1">
        <v>7</v>
      </c>
      <c r="C11" s="2" t="s">
        <v>68</v>
      </c>
      <c r="D11" s="2" t="s">
        <v>22</v>
      </c>
      <c r="E11" s="3" t="s">
        <v>69</v>
      </c>
      <c r="F11" s="8">
        <v>74150</v>
      </c>
      <c r="G11" s="3" t="s">
        <v>70</v>
      </c>
      <c r="H11" s="3" t="s">
        <v>67</v>
      </c>
      <c r="I11">
        <v>281</v>
      </c>
      <c r="J11" s="6" t="s">
        <v>71</v>
      </c>
      <c r="K11" s="7">
        <v>35211</v>
      </c>
      <c r="L11" s="4">
        <v>990</v>
      </c>
      <c r="M11" s="5">
        <v>65000</v>
      </c>
      <c r="N11" t="s">
        <v>63</v>
      </c>
    </row>
    <row r="12" spans="2:14" x14ac:dyDescent="0.25">
      <c r="B12" s="1">
        <v>8</v>
      </c>
      <c r="C12" s="2" t="s">
        <v>72</v>
      </c>
      <c r="D12" s="2" t="s">
        <v>15</v>
      </c>
      <c r="E12" s="3" t="s">
        <v>73</v>
      </c>
      <c r="F12" s="8">
        <v>75017</v>
      </c>
      <c r="G12" s="3" t="s">
        <v>58</v>
      </c>
      <c r="H12" s="3" t="s">
        <v>59</v>
      </c>
      <c r="I12">
        <v>773</v>
      </c>
      <c r="J12" s="2" t="s">
        <v>48</v>
      </c>
      <c r="K12" s="7">
        <v>34068</v>
      </c>
      <c r="L12" s="4">
        <v>480</v>
      </c>
      <c r="M12" s="5">
        <v>45000</v>
      </c>
      <c r="N12" t="s">
        <v>49</v>
      </c>
    </row>
    <row r="13" spans="2:14" x14ac:dyDescent="0.25">
      <c r="B13" s="1">
        <v>9</v>
      </c>
      <c r="C13" s="2" t="s">
        <v>74</v>
      </c>
      <c r="D13" s="2" t="s">
        <v>75</v>
      </c>
      <c r="E13" s="3" t="s">
        <v>76</v>
      </c>
      <c r="F13" s="8">
        <v>39300</v>
      </c>
      <c r="G13" s="3" t="s">
        <v>77</v>
      </c>
      <c r="H13" s="3" t="s">
        <v>78</v>
      </c>
      <c r="I13">
        <v>816</v>
      </c>
      <c r="J13" s="2" t="s">
        <v>48</v>
      </c>
      <c r="K13" s="7">
        <v>35209</v>
      </c>
      <c r="L13" s="4">
        <v>530</v>
      </c>
      <c r="M13" s="5">
        <v>62000</v>
      </c>
      <c r="N13" t="s">
        <v>63</v>
      </c>
    </row>
    <row r="14" spans="2:14" x14ac:dyDescent="0.25">
      <c r="B14" s="1">
        <v>10</v>
      </c>
      <c r="C14" s="2" t="s">
        <v>79</v>
      </c>
      <c r="D14" s="2" t="s">
        <v>23</v>
      </c>
      <c r="E14" s="3" t="s">
        <v>80</v>
      </c>
      <c r="F14" s="8">
        <v>10180</v>
      </c>
      <c r="G14" s="3" t="s">
        <v>81</v>
      </c>
      <c r="H14" s="3" t="s">
        <v>82</v>
      </c>
      <c r="I14">
        <v>718</v>
      </c>
      <c r="J14" s="2" t="s">
        <v>42</v>
      </c>
      <c r="K14" s="7">
        <v>33366</v>
      </c>
      <c r="L14" s="4">
        <v>1520</v>
      </c>
      <c r="M14" s="5">
        <v>33000</v>
      </c>
      <c r="N14" t="s">
        <v>49</v>
      </c>
    </row>
    <row r="15" spans="2:14" x14ac:dyDescent="0.25">
      <c r="B15" s="1">
        <v>11</v>
      </c>
      <c r="C15" s="2" t="s">
        <v>83</v>
      </c>
      <c r="D15" s="2" t="s">
        <v>84</v>
      </c>
      <c r="E15" s="3" t="s">
        <v>85</v>
      </c>
      <c r="F15" s="8">
        <v>76520</v>
      </c>
      <c r="G15" s="3" t="s">
        <v>86</v>
      </c>
      <c r="H15" s="3" t="s">
        <v>87</v>
      </c>
      <c r="I15">
        <v>206</v>
      </c>
      <c r="J15" s="2" t="s">
        <v>48</v>
      </c>
      <c r="K15" s="7">
        <v>35232</v>
      </c>
      <c r="L15" s="4">
        <v>895</v>
      </c>
      <c r="M15" s="5">
        <v>45000</v>
      </c>
      <c r="N15" t="s">
        <v>49</v>
      </c>
    </row>
    <row r="16" spans="2:14" x14ac:dyDescent="0.25">
      <c r="B16" s="1">
        <v>12</v>
      </c>
      <c r="C16" s="2" t="s">
        <v>88</v>
      </c>
      <c r="D16" s="2" t="s">
        <v>89</v>
      </c>
      <c r="E16" s="3" t="s">
        <v>90</v>
      </c>
      <c r="F16" s="8">
        <v>15800</v>
      </c>
      <c r="G16" s="3" t="s">
        <v>91</v>
      </c>
      <c r="H16" s="3" t="s">
        <v>92</v>
      </c>
      <c r="I16">
        <v>281</v>
      </c>
      <c r="J16" s="2" t="s">
        <v>54</v>
      </c>
      <c r="K16" s="7">
        <v>35547</v>
      </c>
      <c r="L16" s="4">
        <v>420</v>
      </c>
      <c r="M16" s="5">
        <v>52000</v>
      </c>
      <c r="N16" t="s">
        <v>49</v>
      </c>
    </row>
    <row r="17" spans="2:14" x14ac:dyDescent="0.25">
      <c r="B17" s="1">
        <v>13</v>
      </c>
      <c r="C17" s="2" t="s">
        <v>93</v>
      </c>
      <c r="D17" s="2" t="s">
        <v>16</v>
      </c>
      <c r="E17" s="3" t="s">
        <v>94</v>
      </c>
      <c r="F17" s="8">
        <v>89380</v>
      </c>
      <c r="G17" s="3" t="s">
        <v>95</v>
      </c>
      <c r="H17" s="3" t="s">
        <v>47</v>
      </c>
      <c r="I17">
        <v>206</v>
      </c>
      <c r="J17" s="2" t="s">
        <v>54</v>
      </c>
      <c r="K17" s="7">
        <v>30812</v>
      </c>
      <c r="L17" s="4">
        <v>440</v>
      </c>
      <c r="M17" s="5">
        <v>39000</v>
      </c>
      <c r="N17" t="s">
        <v>49</v>
      </c>
    </row>
    <row r="18" spans="2:14" x14ac:dyDescent="0.25">
      <c r="B18" s="1">
        <v>14</v>
      </c>
      <c r="C18" s="2" t="s">
        <v>96</v>
      </c>
      <c r="D18" s="2" t="s">
        <v>4</v>
      </c>
      <c r="E18" s="3" t="s">
        <v>97</v>
      </c>
      <c r="F18" s="8">
        <v>95430</v>
      </c>
      <c r="G18" s="3" t="s">
        <v>98</v>
      </c>
      <c r="H18" s="3" t="s">
        <v>59</v>
      </c>
      <c r="I18">
        <v>617</v>
      </c>
      <c r="J18" s="2" t="s">
        <v>42</v>
      </c>
      <c r="K18" s="7">
        <v>34826</v>
      </c>
      <c r="L18" s="4">
        <v>1320</v>
      </c>
      <c r="M18" s="5">
        <v>62000</v>
      </c>
      <c r="N18" t="s">
        <v>49</v>
      </c>
    </row>
    <row r="19" spans="2:14" x14ac:dyDescent="0.25">
      <c r="B19" s="1">
        <v>15</v>
      </c>
      <c r="C19" s="2" t="s">
        <v>99</v>
      </c>
      <c r="D19" s="2" t="s">
        <v>24</v>
      </c>
      <c r="E19" s="3" t="s">
        <v>100</v>
      </c>
      <c r="F19" s="8">
        <v>52400</v>
      </c>
      <c r="G19" s="3" t="s">
        <v>101</v>
      </c>
      <c r="H19" s="3" t="s">
        <v>82</v>
      </c>
      <c r="I19">
        <v>617</v>
      </c>
      <c r="J19" s="2" t="s">
        <v>42</v>
      </c>
      <c r="K19" s="7">
        <v>35197</v>
      </c>
      <c r="L19" s="4">
        <v>550</v>
      </c>
      <c r="M19" s="5">
        <v>32000</v>
      </c>
      <c r="N19" t="s">
        <v>49</v>
      </c>
    </row>
    <row r="20" spans="2:14" x14ac:dyDescent="0.25">
      <c r="B20" s="1">
        <v>16</v>
      </c>
      <c r="C20" s="2" t="s">
        <v>102</v>
      </c>
      <c r="D20" s="2" t="s">
        <v>103</v>
      </c>
      <c r="E20" s="3" t="s">
        <v>104</v>
      </c>
      <c r="F20" s="8">
        <v>18390</v>
      </c>
      <c r="G20" s="3" t="s">
        <v>105</v>
      </c>
      <c r="H20" s="3" t="s">
        <v>106</v>
      </c>
      <c r="I20">
        <v>816</v>
      </c>
      <c r="J20" s="2" t="s">
        <v>48</v>
      </c>
      <c r="K20" s="7">
        <v>34851</v>
      </c>
      <c r="L20" s="4">
        <v>879</v>
      </c>
      <c r="M20" s="5">
        <v>42000</v>
      </c>
      <c r="N20" t="s">
        <v>49</v>
      </c>
    </row>
    <row r="21" spans="2:14" x14ac:dyDescent="0.25">
      <c r="B21" s="1">
        <v>17</v>
      </c>
      <c r="C21" s="2" t="s">
        <v>107</v>
      </c>
      <c r="D21" s="2" t="s">
        <v>108</v>
      </c>
      <c r="E21" s="3" t="s">
        <v>109</v>
      </c>
      <c r="F21" s="8">
        <v>51100</v>
      </c>
      <c r="G21" s="3" t="s">
        <v>110</v>
      </c>
      <c r="H21" s="3" t="s">
        <v>82</v>
      </c>
      <c r="I21">
        <v>212</v>
      </c>
      <c r="J21" s="2" t="s">
        <v>42</v>
      </c>
      <c r="K21" s="7">
        <v>36313</v>
      </c>
      <c r="L21" s="4">
        <v>215</v>
      </c>
      <c r="M21" s="5">
        <v>42000</v>
      </c>
      <c r="N21" t="s">
        <v>43</v>
      </c>
    </row>
    <row r="22" spans="2:14" x14ac:dyDescent="0.25">
      <c r="B22" s="1">
        <v>18</v>
      </c>
      <c r="C22" s="2" t="s">
        <v>111</v>
      </c>
      <c r="D22" s="2" t="s">
        <v>112</v>
      </c>
      <c r="E22" s="3" t="s">
        <v>113</v>
      </c>
      <c r="F22" s="8">
        <v>76133</v>
      </c>
      <c r="G22" s="3" t="s">
        <v>114</v>
      </c>
      <c r="H22" s="3" t="s">
        <v>87</v>
      </c>
      <c r="I22">
        <v>281</v>
      </c>
      <c r="J22" s="2" t="s">
        <v>48</v>
      </c>
      <c r="K22" s="7">
        <v>35974</v>
      </c>
      <c r="L22" s="4">
        <v>320</v>
      </c>
      <c r="M22" s="5">
        <v>33000</v>
      </c>
      <c r="N22" t="s">
        <v>49</v>
      </c>
    </row>
    <row r="23" spans="2:14" x14ac:dyDescent="0.25">
      <c r="B23" s="1">
        <v>19</v>
      </c>
      <c r="C23" s="2" t="s">
        <v>115</v>
      </c>
      <c r="D23" s="2" t="s">
        <v>19</v>
      </c>
      <c r="E23" s="3" t="s">
        <v>116</v>
      </c>
      <c r="F23" s="8">
        <v>69360</v>
      </c>
      <c r="G23" s="3" t="s">
        <v>117</v>
      </c>
      <c r="H23" s="3" t="s">
        <v>67</v>
      </c>
      <c r="I23">
        <v>508</v>
      </c>
      <c r="J23" s="2" t="s">
        <v>48</v>
      </c>
      <c r="K23" s="7">
        <v>35575</v>
      </c>
      <c r="L23" s="4">
        <v>820</v>
      </c>
      <c r="M23" s="5">
        <v>93000</v>
      </c>
      <c r="N23" t="s">
        <v>43</v>
      </c>
    </row>
    <row r="24" spans="2:14" x14ac:dyDescent="0.25">
      <c r="B24" s="1">
        <v>20</v>
      </c>
      <c r="C24" s="2" t="s">
        <v>118</v>
      </c>
      <c r="D24" s="2" t="s">
        <v>119</v>
      </c>
      <c r="E24" s="3" t="s">
        <v>120</v>
      </c>
      <c r="F24" s="8">
        <v>4100</v>
      </c>
      <c r="G24" s="3" t="s">
        <v>121</v>
      </c>
      <c r="H24" s="3" t="s">
        <v>122</v>
      </c>
      <c r="I24">
        <v>203</v>
      </c>
      <c r="J24" s="2" t="s">
        <v>48</v>
      </c>
      <c r="K24" s="7">
        <v>36323</v>
      </c>
      <c r="L24" s="4">
        <v>150</v>
      </c>
      <c r="M24" s="5">
        <v>72000</v>
      </c>
      <c r="N24" t="s">
        <v>63</v>
      </c>
    </row>
    <row r="25" spans="2:14" x14ac:dyDescent="0.25">
      <c r="B25" s="1">
        <v>21</v>
      </c>
      <c r="C25" s="2" t="s">
        <v>123</v>
      </c>
      <c r="D25" s="2" t="s">
        <v>124</v>
      </c>
      <c r="E25" s="3" t="s">
        <v>125</v>
      </c>
      <c r="F25" s="8">
        <v>28300</v>
      </c>
      <c r="G25" s="3" t="s">
        <v>126</v>
      </c>
      <c r="H25" s="3" t="s">
        <v>106</v>
      </c>
      <c r="I25">
        <v>773</v>
      </c>
      <c r="J25" s="2" t="s">
        <v>127</v>
      </c>
      <c r="K25" s="7">
        <v>35523</v>
      </c>
      <c r="L25" s="4">
        <v>779</v>
      </c>
      <c r="M25" s="5">
        <v>87000</v>
      </c>
      <c r="N25" t="s">
        <v>63</v>
      </c>
    </row>
    <row r="26" spans="2:14" x14ac:dyDescent="0.25">
      <c r="B26" s="1">
        <v>22</v>
      </c>
      <c r="C26" s="2" t="s">
        <v>128</v>
      </c>
      <c r="D26" s="2" t="s">
        <v>15</v>
      </c>
      <c r="E26" s="3" t="s">
        <v>129</v>
      </c>
      <c r="F26" s="8">
        <v>24620</v>
      </c>
      <c r="G26" s="3" t="s">
        <v>130</v>
      </c>
      <c r="H26" s="3" t="s">
        <v>131</v>
      </c>
      <c r="I26">
        <v>617</v>
      </c>
      <c r="J26" s="2" t="s">
        <v>127</v>
      </c>
      <c r="K26" s="7">
        <v>35889</v>
      </c>
      <c r="L26" s="4">
        <v>420</v>
      </c>
      <c r="M26" s="5">
        <v>55000</v>
      </c>
      <c r="N26" t="s">
        <v>63</v>
      </c>
    </row>
    <row r="27" spans="2:14" x14ac:dyDescent="0.25">
      <c r="B27" s="1">
        <v>23</v>
      </c>
      <c r="C27" s="2" t="s">
        <v>132</v>
      </c>
      <c r="D27" s="2" t="s">
        <v>133</v>
      </c>
      <c r="E27" s="3" t="s">
        <v>134</v>
      </c>
      <c r="F27" s="8">
        <v>63500</v>
      </c>
      <c r="G27" s="3" t="s">
        <v>135</v>
      </c>
      <c r="H27" s="3" t="s">
        <v>92</v>
      </c>
      <c r="I27">
        <v>619</v>
      </c>
      <c r="J27" s="2" t="s">
        <v>127</v>
      </c>
      <c r="K27" s="7">
        <v>35901</v>
      </c>
      <c r="L27" s="4">
        <v>250</v>
      </c>
      <c r="M27" s="5">
        <v>45000</v>
      </c>
      <c r="N27" t="s">
        <v>63</v>
      </c>
    </row>
    <row r="28" spans="2:14" x14ac:dyDescent="0.25">
      <c r="B28" s="1">
        <v>24</v>
      </c>
      <c r="C28" s="2" t="s">
        <v>136</v>
      </c>
      <c r="D28" s="2" t="s">
        <v>137</v>
      </c>
      <c r="E28" s="3" t="s">
        <v>138</v>
      </c>
      <c r="F28" s="8">
        <v>43700</v>
      </c>
      <c r="G28" s="3" t="s">
        <v>139</v>
      </c>
      <c r="H28" s="3" t="s">
        <v>92</v>
      </c>
      <c r="I28">
        <v>619</v>
      </c>
      <c r="J28" s="2" t="s">
        <v>127</v>
      </c>
      <c r="K28" s="7">
        <v>36305</v>
      </c>
      <c r="L28" s="4">
        <v>120</v>
      </c>
      <c r="M28" s="5">
        <v>85000</v>
      </c>
      <c r="N28" t="s">
        <v>43</v>
      </c>
    </row>
    <row r="29" spans="2:14" x14ac:dyDescent="0.25">
      <c r="B29" s="1">
        <v>25</v>
      </c>
      <c r="C29" s="2" t="s">
        <v>140</v>
      </c>
      <c r="D29" s="2" t="s">
        <v>141</v>
      </c>
      <c r="E29" s="3" t="s">
        <v>142</v>
      </c>
      <c r="F29" s="8">
        <v>43000</v>
      </c>
      <c r="G29" s="3" t="s">
        <v>143</v>
      </c>
      <c r="H29" s="3" t="s">
        <v>92</v>
      </c>
      <c r="I29">
        <v>617</v>
      </c>
      <c r="J29" s="2" t="s">
        <v>127</v>
      </c>
      <c r="K29" s="7">
        <v>34486</v>
      </c>
      <c r="L29" s="4">
        <v>1550</v>
      </c>
      <c r="M29" s="5">
        <v>45000</v>
      </c>
      <c r="N29" t="s">
        <v>49</v>
      </c>
    </row>
    <row r="30" spans="2:14" x14ac:dyDescent="0.25">
      <c r="B30" s="1">
        <v>26</v>
      </c>
      <c r="C30" s="2" t="s">
        <v>144</v>
      </c>
      <c r="D30" s="2" t="s">
        <v>145</v>
      </c>
      <c r="E30" s="3" t="s">
        <v>146</v>
      </c>
      <c r="F30" s="8">
        <v>40600</v>
      </c>
      <c r="G30" s="3" t="s">
        <v>147</v>
      </c>
      <c r="H30" s="3" t="s">
        <v>131</v>
      </c>
      <c r="I30">
        <v>617</v>
      </c>
      <c r="J30" s="2" t="s">
        <v>48</v>
      </c>
      <c r="K30" s="7">
        <v>36680</v>
      </c>
      <c r="L30" s="4">
        <v>250</v>
      </c>
      <c r="M30" s="5">
        <v>30000</v>
      </c>
      <c r="N30" t="s">
        <v>49</v>
      </c>
    </row>
    <row r="31" spans="2:14" x14ac:dyDescent="0.25">
      <c r="B31" s="1">
        <v>27</v>
      </c>
      <c r="C31" s="2" t="s">
        <v>148</v>
      </c>
      <c r="D31" s="2" t="s">
        <v>6</v>
      </c>
      <c r="E31" s="3" t="s">
        <v>149</v>
      </c>
      <c r="F31" s="8">
        <v>40300</v>
      </c>
      <c r="G31" s="3" t="s">
        <v>150</v>
      </c>
      <c r="H31" s="3" t="s">
        <v>131</v>
      </c>
      <c r="I31">
        <v>415</v>
      </c>
      <c r="J31" s="2" t="s">
        <v>42</v>
      </c>
      <c r="K31" s="7">
        <v>36324</v>
      </c>
      <c r="L31" s="4">
        <v>553</v>
      </c>
      <c r="M31" s="5">
        <v>65000</v>
      </c>
      <c r="N31" t="s">
        <v>63</v>
      </c>
    </row>
    <row r="32" spans="2:14" x14ac:dyDescent="0.25">
      <c r="B32" s="1">
        <v>28</v>
      </c>
      <c r="C32" s="2" t="s">
        <v>151</v>
      </c>
      <c r="D32" s="2" t="s">
        <v>14</v>
      </c>
      <c r="E32" s="3" t="s">
        <v>152</v>
      </c>
      <c r="F32" s="8">
        <v>77580</v>
      </c>
      <c r="G32" s="3" t="s">
        <v>153</v>
      </c>
      <c r="H32" s="3" t="s">
        <v>59</v>
      </c>
      <c r="I32">
        <v>413</v>
      </c>
      <c r="J32" s="2" t="s">
        <v>71</v>
      </c>
      <c r="K32" s="7">
        <v>31873</v>
      </c>
      <c r="L32" s="4">
        <v>420</v>
      </c>
      <c r="M32" s="5">
        <v>49000</v>
      </c>
      <c r="N32" t="s">
        <v>63</v>
      </c>
    </row>
    <row r="33" spans="2:14" x14ac:dyDescent="0.25">
      <c r="B33" s="1">
        <v>29</v>
      </c>
      <c r="C33" s="2" t="s">
        <v>72</v>
      </c>
      <c r="D33" s="2" t="s">
        <v>15</v>
      </c>
      <c r="E33" s="3" t="s">
        <v>73</v>
      </c>
      <c r="F33" s="8">
        <v>75017</v>
      </c>
      <c r="G33" s="3" t="s">
        <v>58</v>
      </c>
      <c r="H33" s="3" t="s">
        <v>59</v>
      </c>
      <c r="I33">
        <v>773</v>
      </c>
      <c r="J33" s="2" t="s">
        <v>48</v>
      </c>
      <c r="K33" s="7">
        <v>34068</v>
      </c>
      <c r="L33" s="4">
        <v>480</v>
      </c>
      <c r="M33" s="5">
        <v>45000</v>
      </c>
      <c r="N33" t="s">
        <v>49</v>
      </c>
    </row>
    <row r="34" spans="2:14" x14ac:dyDescent="0.25">
      <c r="B34" s="1">
        <v>30</v>
      </c>
      <c r="C34" s="2" t="s">
        <v>154</v>
      </c>
      <c r="D34" s="2" t="s">
        <v>155</v>
      </c>
      <c r="E34" s="3" t="s">
        <v>156</v>
      </c>
      <c r="F34" s="8">
        <v>75020</v>
      </c>
      <c r="G34" s="3" t="s">
        <v>58</v>
      </c>
      <c r="H34" s="3" t="s">
        <v>59</v>
      </c>
      <c r="I34">
        <v>505</v>
      </c>
      <c r="J34" s="2" t="s">
        <v>71</v>
      </c>
      <c r="K34" s="7">
        <v>35911</v>
      </c>
      <c r="L34" s="4">
        <v>2530</v>
      </c>
      <c r="M34" s="5">
        <v>34000</v>
      </c>
      <c r="N34" t="s">
        <v>49</v>
      </c>
    </row>
    <row r="35" spans="2:14" x14ac:dyDescent="0.25">
      <c r="B35" s="1">
        <v>31</v>
      </c>
      <c r="C35" s="2" t="s">
        <v>157</v>
      </c>
      <c r="D35" s="2" t="s">
        <v>20</v>
      </c>
      <c r="E35" s="3" t="s">
        <v>158</v>
      </c>
      <c r="F35" s="8">
        <v>75014</v>
      </c>
      <c r="G35" s="3" t="s">
        <v>58</v>
      </c>
      <c r="H35" s="3" t="s">
        <v>59</v>
      </c>
      <c r="I35">
        <v>206</v>
      </c>
      <c r="J35" s="2" t="s">
        <v>48</v>
      </c>
      <c r="K35" s="7">
        <v>34103</v>
      </c>
      <c r="L35" s="4">
        <v>2100</v>
      </c>
      <c r="M35" s="5">
        <v>63000</v>
      </c>
      <c r="N35" t="s">
        <v>49</v>
      </c>
    </row>
    <row r="36" spans="2:14" x14ac:dyDescent="0.25">
      <c r="B36" s="1">
        <v>32</v>
      </c>
      <c r="C36" s="2" t="s">
        <v>159</v>
      </c>
      <c r="D36" s="2" t="s">
        <v>21</v>
      </c>
      <c r="E36" s="3" t="s">
        <v>160</v>
      </c>
      <c r="F36" s="8">
        <v>78800</v>
      </c>
      <c r="G36" s="3" t="s">
        <v>161</v>
      </c>
      <c r="H36" s="3" t="s">
        <v>59</v>
      </c>
      <c r="I36">
        <v>212</v>
      </c>
      <c r="J36" s="2" t="s">
        <v>54</v>
      </c>
      <c r="K36" s="7">
        <v>36299</v>
      </c>
      <c r="L36" s="4">
        <v>310</v>
      </c>
      <c r="M36" s="5">
        <v>23000</v>
      </c>
      <c r="N36" t="s">
        <v>49</v>
      </c>
    </row>
    <row r="37" spans="2:14" x14ac:dyDescent="0.25">
      <c r="B37" s="1">
        <v>33</v>
      </c>
      <c r="C37" s="2" t="s">
        <v>162</v>
      </c>
      <c r="D37" s="2" t="s">
        <v>163</v>
      </c>
      <c r="E37" s="3" t="s">
        <v>164</v>
      </c>
      <c r="F37" s="8">
        <v>93360</v>
      </c>
      <c r="G37" s="3" t="s">
        <v>165</v>
      </c>
      <c r="H37" s="3" t="s">
        <v>59</v>
      </c>
      <c r="I37">
        <v>771</v>
      </c>
      <c r="J37" s="2" t="s">
        <v>48</v>
      </c>
      <c r="K37" s="7">
        <v>36241</v>
      </c>
      <c r="L37" s="4">
        <v>250</v>
      </c>
      <c r="M37" s="5">
        <v>31000</v>
      </c>
      <c r="N37" t="s">
        <v>49</v>
      </c>
    </row>
    <row r="38" spans="2:14" x14ac:dyDescent="0.25">
      <c r="B38" s="1">
        <v>34</v>
      </c>
      <c r="C38" s="2" t="s">
        <v>166</v>
      </c>
      <c r="D38" s="2" t="s">
        <v>167</v>
      </c>
      <c r="E38" s="3" t="s">
        <v>168</v>
      </c>
      <c r="F38" s="8">
        <v>66490</v>
      </c>
      <c r="G38" s="3" t="s">
        <v>169</v>
      </c>
      <c r="H38" s="3" t="s">
        <v>170</v>
      </c>
      <c r="I38">
        <v>508</v>
      </c>
      <c r="J38" s="2" t="s">
        <v>48</v>
      </c>
      <c r="K38" s="7">
        <v>36310</v>
      </c>
      <c r="L38" s="4">
        <v>390</v>
      </c>
      <c r="M38" s="5">
        <v>32000</v>
      </c>
      <c r="N38" t="s">
        <v>49</v>
      </c>
    </row>
    <row r="39" spans="2:14" x14ac:dyDescent="0.25">
      <c r="B39" s="1">
        <v>35</v>
      </c>
      <c r="C39" s="2" t="s">
        <v>171</v>
      </c>
      <c r="D39" s="2" t="s">
        <v>172</v>
      </c>
      <c r="E39" s="3" t="s">
        <v>173</v>
      </c>
      <c r="F39" s="8">
        <v>66240</v>
      </c>
      <c r="G39" s="3" t="s">
        <v>174</v>
      </c>
      <c r="H39" s="3" t="s">
        <v>170</v>
      </c>
      <c r="I39">
        <v>508</v>
      </c>
      <c r="J39" s="2" t="s">
        <v>48</v>
      </c>
      <c r="K39" s="7">
        <v>35596</v>
      </c>
      <c r="L39" s="4">
        <v>450</v>
      </c>
      <c r="M39" s="5">
        <v>53000</v>
      </c>
      <c r="N39" t="s">
        <v>43</v>
      </c>
    </row>
    <row r="40" spans="2:14" x14ac:dyDescent="0.25">
      <c r="B40" s="1">
        <v>36</v>
      </c>
      <c r="C40" s="2" t="s">
        <v>175</v>
      </c>
      <c r="D40" s="2" t="s">
        <v>176</v>
      </c>
      <c r="E40" s="3" t="s">
        <v>177</v>
      </c>
      <c r="F40" s="8">
        <v>27940</v>
      </c>
      <c r="G40" s="3" t="s">
        <v>178</v>
      </c>
      <c r="H40" s="3" t="s">
        <v>87</v>
      </c>
      <c r="I40">
        <v>415</v>
      </c>
      <c r="J40" s="2" t="s">
        <v>71</v>
      </c>
      <c r="K40" s="7">
        <v>33705</v>
      </c>
      <c r="L40" s="4">
        <v>1300</v>
      </c>
      <c r="M40" s="5">
        <v>54000</v>
      </c>
      <c r="N40" t="s">
        <v>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4:S16"/>
  <sheetViews>
    <sheetView showGridLines="0" workbookViewId="0"/>
  </sheetViews>
  <sheetFormatPr defaultColWidth="11.42578125" defaultRowHeight="15" x14ac:dyDescent="0.25"/>
  <cols>
    <col min="1" max="1" width="6.28515625" customWidth="1"/>
    <col min="3" max="3" width="20.140625" bestFit="1" customWidth="1"/>
    <col min="9" max="9" width="12.140625" customWidth="1"/>
    <col min="11" max="11" width="13" customWidth="1"/>
    <col min="18" max="18" width="7" customWidth="1"/>
  </cols>
  <sheetData>
    <row r="4" spans="3:19" x14ac:dyDescent="0.25">
      <c r="I4" t="s">
        <v>181</v>
      </c>
      <c r="K4" s="15" t="s">
        <v>184</v>
      </c>
    </row>
    <row r="5" spans="3:19" x14ac:dyDescent="0.25">
      <c r="C5" s="12" t="s">
        <v>179</v>
      </c>
      <c r="I5" t="s">
        <v>182</v>
      </c>
      <c r="K5" s="16" t="s">
        <v>185</v>
      </c>
      <c r="Q5" s="12" t="s">
        <v>193</v>
      </c>
      <c r="S5" s="12" t="s">
        <v>194</v>
      </c>
    </row>
    <row r="6" spans="3:19" x14ac:dyDescent="0.25">
      <c r="C6" t="s">
        <v>0</v>
      </c>
      <c r="I6" t="s">
        <v>183</v>
      </c>
      <c r="K6" s="15" t="s">
        <v>186</v>
      </c>
      <c r="Q6" t="s">
        <v>188</v>
      </c>
      <c r="S6" s="1">
        <f>COUNTA(mini_database_project_PNAEP_!AA2:AA9867)</f>
        <v>16</v>
      </c>
    </row>
    <row r="7" spans="3:19" ht="18.75" x14ac:dyDescent="0.3">
      <c r="C7" t="s">
        <v>1</v>
      </c>
      <c r="I7" s="14" t="s">
        <v>187</v>
      </c>
      <c r="Q7" t="s">
        <v>192</v>
      </c>
    </row>
    <row r="8" spans="3:19" x14ac:dyDescent="0.25">
      <c r="C8" t="s">
        <v>2</v>
      </c>
      <c r="Q8" t="s">
        <v>189</v>
      </c>
    </row>
    <row r="9" spans="3:19" x14ac:dyDescent="0.25">
      <c r="C9" t="s">
        <v>3</v>
      </c>
      <c r="Q9" t="s">
        <v>191</v>
      </c>
    </row>
    <row r="10" spans="3:19" x14ac:dyDescent="0.25">
      <c r="C10" t="s">
        <v>5</v>
      </c>
      <c r="Q10" t="s">
        <v>190</v>
      </c>
    </row>
    <row r="11" spans="3:19" x14ac:dyDescent="0.25">
      <c r="C11" t="s">
        <v>7</v>
      </c>
      <c r="E11" s="13" t="s">
        <v>180</v>
      </c>
    </row>
    <row r="12" spans="3:19" x14ac:dyDescent="0.25">
      <c r="C12" t="s">
        <v>8</v>
      </c>
    </row>
    <row r="13" spans="3:19" x14ac:dyDescent="0.25">
      <c r="C13" t="s">
        <v>12</v>
      </c>
    </row>
    <row r="14" spans="3:19" x14ac:dyDescent="0.25">
      <c r="C14" t="s">
        <v>13</v>
      </c>
    </row>
    <row r="15" spans="3:19" x14ac:dyDescent="0.25">
      <c r="C15" t="s">
        <v>17</v>
      </c>
    </row>
    <row r="16" spans="3:19" x14ac:dyDescent="0.25">
      <c r="C16" t="s">
        <v>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30"/>
  <sheetViews>
    <sheetView showGridLines="0" workbookViewId="0"/>
  </sheetViews>
  <sheetFormatPr defaultColWidth="11.42578125" defaultRowHeight="15" x14ac:dyDescent="0.25"/>
  <sheetData>
    <row r="1" spans="1:17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1:17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1:17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1:17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1:17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1:17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</row>
    <row r="8" spans="1:17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</row>
    <row r="9" spans="1:17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</row>
    <row r="10" spans="1:17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</row>
    <row r="11" spans="1:17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1:17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17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17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17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17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1:17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1:17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17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1:17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1:17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1:17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7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7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7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7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7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7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7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showGridLines="0" topLeftCell="A28" workbookViewId="0"/>
  </sheetViews>
  <sheetFormatPr defaultColWidth="11.42578125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mini_database_project_PNAEP_</vt:lpstr>
      <vt:lpstr>Liste Client</vt:lpstr>
      <vt:lpstr>Liste </vt:lpstr>
      <vt:lpstr>Consignes </vt:lpstr>
      <vt:lpstr>Code VBA </vt:lpstr>
      <vt:lpstr>'Liste '!Criteria</vt:lpstr>
      <vt:lpstr>mini_database_project_PNAEP_!Criteria</vt:lpstr>
      <vt:lpstr>DébitMeca</vt:lpstr>
      <vt:lpstr>mini_database_project_PNAEP_!Extract</vt:lpstr>
      <vt:lpstr>Localité</vt:lpstr>
      <vt:lpstr>NatureDuForage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Jean-Paul</dc:creator>
  <cp:lastModifiedBy>Daniel03</cp:lastModifiedBy>
  <dcterms:created xsi:type="dcterms:W3CDTF">2016-07-06T12:52:52Z</dcterms:created>
  <dcterms:modified xsi:type="dcterms:W3CDTF">2021-06-03T12:09:35Z</dcterms:modified>
</cp:coreProperties>
</file>